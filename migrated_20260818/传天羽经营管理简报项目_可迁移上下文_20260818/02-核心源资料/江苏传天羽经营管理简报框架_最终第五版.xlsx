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\Documents\xwechat_files\wxid_cdud1645z9o422_337a\msg\file\2026-08\"/>
    </mc:Choice>
  </mc:AlternateContent>
  <bookViews>
    <workbookView windowWidth="28800" windowHeight="12255"/>
  </bookViews>
  <sheets>
    <sheet name="1-日报框架" sheetId="2" r:id="rId1"/>
    <sheet name="2-周报框架" sheetId="3" r:id="rId2"/>
    <sheet name="3-月报框架" sheetId="4" r:id="rId3"/>
    <sheet name="4-业务板块专项" sheetId="5" r:id="rId4"/>
    <sheet name="5-指标口径矩阵" sheetId="6" r:id="rId5"/>
    <sheet name="6-预警与决策规则" sheetId="7" r:id="rId6"/>
    <sheet name="7-数据责任与时效" sheetId="8" r:id="rId7"/>
    <sheet name="8-事项风控模板" sheetId="9" r:id="rId8"/>
    <sheet name="9-附表清单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<sst xmlns="http://schemas.openxmlformats.org/spreadsheetml/2006/main" count="1743" uniqueCount="1014">
  <si>
    <t>每日经营管理简报框架</t>
  </si>
  <si>
    <t>日报看异常和当天动作：D+1早晨呈报，主表控制在1-2页，明细进入附表</t>
  </si>
  <si>
    <t>一级结构固定为：经营数据、管理数据、重点事项和风控；“老板摘要”只汇总三大板块的结论，不新增数据口径。</t>
  </si>
  <si>
    <t>序号</t>
  </si>
  <si>
    <t>一级板块</t>
  </si>
  <si>
    <t>管理主题</t>
  </si>
  <si>
    <t>主表必呈现内容</t>
  </si>
  <si>
    <t>比较/分析口径</t>
  </si>
  <si>
    <t>异常后管理动作</t>
  </si>
  <si>
    <t>呈现层级</t>
  </si>
  <si>
    <t>数据时点</t>
  </si>
  <si>
    <t>D01</t>
  </si>
  <si>
    <t>老板摘要</t>
  </si>
  <si>
    <t>经营结论</t>
  </si>
  <si>
    <t>用一句话说明销售、毛利、目标进度、最大贡献板块和最大拖累因素；只列3项以内亮点/异常。</t>
  </si>
  <si>
    <t>实销与目标进度、上周同日及必要的同比对照；利润口径标注暂估/确认。</t>
  </si>
  <si>
    <t>异常直接指向责任板块、原因、今日动作和完成节点。</t>
  </si>
  <si>
    <t>首页置顶</t>
  </si>
  <si>
    <t>D+1 08:30前</t>
  </si>
  <si>
    <t>D02</t>
  </si>
  <si>
    <t>需老板决策</t>
  </si>
  <si>
    <t>事项、影响金额/范围、方案A/B、责任人建议、建议结论、最晚批复时间。</t>
  </si>
  <si>
    <t>只进入涉及资金授权、价格政策、重大客户、跨部门资源或高风险事项。</t>
  </si>
  <si>
    <t>未批复实时提醒；批复后进入执行闭环。</t>
  </si>
  <si>
    <t>首页置顶，1-3项</t>
  </si>
  <si>
    <t>实时更新</t>
  </si>
  <si>
    <t>D03</t>
  </si>
  <si>
    <t>重大异常</t>
  </si>
  <si>
    <t>红色风险、重大客诉/舆情、平台处罚、资金或数据异常；无则明确显示“无重大异常”。</t>
  </si>
  <si>
    <t>按影响金额、业务连续性、品牌/合规影响分级。</t>
  </si>
  <si>
    <t>红色风险立即上报并形成责任人、措施、时限。</t>
  </si>
  <si>
    <t>事件触发</t>
  </si>
  <si>
    <t>D04</t>
  </si>
  <si>
    <t>经营数据</t>
  </si>
  <si>
    <t>公司经营结果</t>
  </si>
  <si>
    <t>实销收入、毛利额、毛利率、订单数、客单价；月累计、月目标、目标达成率、时间进度、月末预测。</t>
  </si>
  <si>
    <t>日报优先对比上周同日和目标进度；同比仅在可比口径成立时使用。</t>
  </si>
  <si>
    <t>低于进度时写明差额、原因、当日追赶动作。</t>
  </si>
  <si>
    <t>主表必看</t>
  </si>
  <si>
    <t>D+1；毛利可暂估</t>
  </si>
  <si>
    <t>D05</t>
  </si>
  <si>
    <t>四大板块贡献</t>
  </si>
  <si>
    <t>APR门店、Apple电商、Shure电商、3PP/渠道分销：销售、毛利率、目标达成、增减贡献、状态。</t>
  </si>
  <si>
    <t>公司合计与四板块必须勾稽一致；贡献用金额和百分点表达。</t>
  </si>
  <si>
    <t>异常板块进入下一层，其余不展开。</t>
  </si>
  <si>
    <t>主表横向比较</t>
  </si>
  <si>
    <t>D+1</t>
  </si>
  <si>
    <t>D06</t>
  </si>
  <si>
    <t>APR门店异常</t>
  </si>
  <si>
    <t>仅呈现TOP3、末位/异常门店；销售、完成率、毛利率、客流、转化、客单价、配件/服务连带、库存与合规异常。</t>
  </si>
  <si>
    <t>门店对比上周同日、预算和同店口径；全量门店进入附表。</t>
  </si>
  <si>
    <t>点名店长，给出当天提升动作与目标。</t>
  </si>
  <si>
    <t>异常时主表；全量附表</t>
  </si>
  <si>
    <t>D07</t>
  </si>
  <si>
    <t>Apple电商异常</t>
  </si>
  <si>
    <t>两渠道实销/GMV、毛利率、净贡献、退款、推广费/ROAS、转化、履约、库存及激活异常。</t>
  </si>
  <si>
    <t>GMV与实销分列；退款、平台补贴和推广归因口径统一；不纳入天猫渠道。</t>
  </si>
  <si>
    <t>负毛利、异常优惠、激活/履约风险立即形成处理项。</t>
  </si>
  <si>
    <t>异常时主表；渠道附表</t>
  </si>
  <si>
    <t>D08</t>
  </si>
  <si>
    <t>Shure电商异常</t>
  </si>
  <si>
    <t>京东官方旗舰店、天猫官方旗舰店：销售、毛利率、订单、转化、退款、推广费/ROAS、核心SKU贡献、库存。</t>
  </si>
  <si>
    <t>按当前实际经营渠道统计；未正式经营渠道不进入公司合计。</t>
  </si>
  <si>
    <t>低ROAS、高退款、核心SKU缺货或超龄形成专项动作。</t>
  </si>
  <si>
    <t>D09</t>
  </si>
  <si>
    <t>3PP/渠道分销异常</t>
  </si>
  <si>
    <t>销售、毛利率、活跃客户、重点项目、回款、逾期应收、重点产品铺货/动销、库存。</t>
  </si>
  <si>
    <t>按客户/品牌/项目归属，销售与回款、应收、库存联动查看。</t>
  </si>
  <si>
    <t>逾期应收、项目节点或库存风险明确负责人和回收/消化计划。</t>
  </si>
  <si>
    <t>异常时主表；项目附表</t>
  </si>
  <si>
    <t>D+1/事项实时</t>
  </si>
  <si>
    <t>D10</t>
  </si>
  <si>
    <t>库存健康</t>
  </si>
  <si>
    <t>库存金额、90天+/180天+、周转天数或存销比、核心SKU缺货、低库存、在途超期、残次/样机；只列TOP风险SKU。</t>
  </si>
  <si>
    <t>总额按成本口径；库龄按统一批次规则；虚拟品、样机和残次单列。</t>
  </si>
  <si>
    <t>形成补货、调拨、清库、退换或跌价评估动作。</t>
  </si>
  <si>
    <t>主表摘要+附表</t>
  </si>
  <si>
    <t>D11</t>
  </si>
  <si>
    <t>资金与应收</t>
  </si>
  <si>
    <t>重大收付款、可用资金预警、国补/平台/客户应收、逾期金额、预计回款日、异常退款或账实差异。</t>
  </si>
  <si>
    <t>日报不平铺全部银行余额；只呈现重大变动、逾期和越线风险，敏感信息按权限。</t>
  </si>
  <si>
    <t>明确催收/核查动作、责任人和预计解决日。</t>
  </si>
  <si>
    <t>异常时主表；财务附表</t>
  </si>
  <si>
    <t>D12</t>
  </si>
  <si>
    <t>管理数据</t>
  </si>
  <si>
    <t>重点任务执行</t>
  </si>
  <si>
    <t>重点事项新增、完成、逾期数量；TOP事项实际进度、时间进度、偏差、当日进展、下一节点。</t>
  </si>
  <si>
    <t>实际进度落后时间进度10个百分点即关注，20个百分点或逾期即预警。</t>
  </si>
  <si>
    <t>落后事项必须给纠偏动作，责任到人、时限到日。</t>
  </si>
  <si>
    <t>每日下班前更新</t>
  </si>
  <si>
    <t>D13</t>
  </si>
  <si>
    <t>经营保障效率</t>
  </si>
  <si>
    <t>投放/活动异常、履约/售后异常、重大客诉、返利政策节点、门店合规、关键合同/审批异常。</t>
  </si>
  <si>
    <t>内容营销作为经营支撑，不单列为收入板块；无异常不展开。</t>
  </si>
  <si>
    <t>形成停止、调整、补救或升级方案。</t>
  </si>
  <si>
    <t>异常时主表</t>
  </si>
  <si>
    <t>事件触发/D+1</t>
  </si>
  <si>
    <t>D14</t>
  </si>
  <si>
    <t>组织异常</t>
  </si>
  <si>
    <t>关键岗位缺编、异常离职、门店严重缺勤、新人/认证逾期、劳动合规异常。</t>
  </si>
  <si>
    <t>日报不展示全量考勤和招聘流水，仅展示影响经营的例外。</t>
  </si>
  <si>
    <t>确定临时替补、招聘、培训或责任处理时限。</t>
  </si>
  <si>
    <t>D+1/事件触发</t>
  </si>
  <si>
    <t>D15</t>
  </si>
  <si>
    <t>数据质量</t>
  </si>
  <si>
    <t>关键数据源更新时间、确认/暂估/缺失状态、应报/实报、ERP与平台/财务差异。</t>
  </si>
  <si>
    <t>关键指标必须标来源、截止时间和数据状态；公司合计需与板块合计勾稽。</t>
  </si>
  <si>
    <t>缺失数据指定补录责任人和最晚修复时间。</t>
  </si>
  <si>
    <t>底部固定</t>
  </si>
  <si>
    <t>每次汇总</t>
  </si>
  <si>
    <t>D16</t>
  </si>
  <si>
    <t>重点事项和风控</t>
  </si>
  <si>
    <t>风险处置</t>
  </si>
  <si>
    <t>风险等级、类型、事项、影响金额/范围、发生概率、当前措施、剩余敞口、责任人、截止日、状态。</t>
  </si>
  <si>
    <t>按销售、库存、资金、平台、合规、客户、人员、数据八类统一登记。</t>
  </si>
  <si>
    <t>红色即时报；黄色进入每日跟踪；关闭需结果验证。</t>
  </si>
  <si>
    <t>红黄风险清单</t>
  </si>
  <si>
    <t>D17</t>
  </si>
  <si>
    <t>老板批复闭环</t>
  </si>
  <si>
    <t>批复内容、接收人、执行动作、完成时间、验证证据、未完成原因。</t>
  </si>
  <si>
    <t>批复不是终点，必须对应后续事项ID并验证结果。</t>
  </si>
  <si>
    <t>未确认或逾期自动升级。</t>
  </si>
  <si>
    <t>决策清单底部</t>
  </si>
  <si>
    <t>每周经营管理简报框架</t>
  </si>
  <si>
    <t>周报看变化、差距与整改效果：解释驱动，形成下周量化动作</t>
  </si>
  <si>
    <t>W01</t>
  </si>
  <si>
    <t>本周经营结论</t>
  </si>
  <si>
    <t>一页说明销售、毛利、预算/目标、最大增长贡献、最大拖累、重大风险和下周三项动作。</t>
  </si>
  <si>
    <t>本周对上周、去年同期、近4周均值和月度时间进度。</t>
  </si>
  <si>
    <t>形成下周目标、动作、责任人和资源需求。</t>
  </si>
  <si>
    <t>周一10:00前</t>
  </si>
  <si>
    <t>W02</t>
  </si>
  <si>
    <t>收入与利润趋势</t>
  </si>
  <si>
    <t>周销售、毛利额、毛利率、贡献毛利、月累计达成、月末滚动预测、预算差额。</t>
  </si>
  <si>
    <t>实际/目标/去年同期/上周并列；解释增减金额和百分点。</t>
  </si>
  <si>
    <t>对差距形成量化追赶计划。</t>
  </si>
  <si>
    <t>每周</t>
  </si>
  <si>
    <t>W03</t>
  </si>
  <si>
    <t>增长驱动拆解</t>
  </si>
  <si>
    <t>APR按客流×转化×客单拆解；电商按UV×转化×客单拆解；分销按客户×订单×客单拆解。</t>
  </si>
  <si>
    <t>用可解释驱动替代单纯环比，必要时补充价格/销量/结构影响。</t>
  </si>
  <si>
    <t>明确最有效和最需要纠偏的驱动。</t>
  </si>
  <si>
    <t>主表分析</t>
  </si>
  <si>
    <t>W04</t>
  </si>
  <si>
    <t>板块与门店/渠道贡献</t>
  </si>
  <si>
    <t>四大板块收入、毛利、增量贡献；APR门店、京东羽通、苏宁啟韬、Shure京东/天猫、3PP项目排名。</t>
  </si>
  <si>
    <t>公司合计与明细勾稽；TOP/末位变化必须解释。</t>
  </si>
  <si>
    <t>确定资源倾斜和整改对象。</t>
  </si>
  <si>
    <t>主表+排名附表</t>
  </si>
  <si>
    <t>W05</t>
  </si>
  <si>
    <t>费用与营销效率</t>
  </si>
  <si>
    <t>推广、平台扣点、优惠、物流、售后等可变费用及费用率；平台/活动ROAS、预算消耗、增量毛利。</t>
  </si>
  <si>
    <t>评价投入产出和增量，不用单一GMV判断活动。</t>
  </si>
  <si>
    <t>形成继续、调整或停止清单。</t>
  </si>
  <si>
    <t>W06</t>
  </si>
  <si>
    <t>库存与营运资金</t>
  </si>
  <si>
    <t>库存增减、90天+/180天+、周转、缺货、在途；应收、逾期、回款、返利跟进。</t>
  </si>
  <si>
    <t>对比上周和月初；列出新增与消化/回收金额。</t>
  </si>
  <si>
    <t>形成清库、补货、调拨和回款责任清单。</t>
  </si>
  <si>
    <t>W07</t>
  </si>
  <si>
    <t>客户与服务质量</t>
  </si>
  <si>
    <t>退款/退货、重大投诉、中差评、履约及时率、重复问题和闭环时长。</t>
  </si>
  <si>
    <t>按渠道/门店分类，区分偶发与系统性问题。</t>
  </si>
  <si>
    <t>形成流程整改和责任追踪。</t>
  </si>
  <si>
    <t>异常复盘</t>
  </si>
  <si>
    <t>W08</t>
  </si>
  <si>
    <t>重点事项闭环</t>
  </si>
  <si>
    <t>新增、到期、完成、逾期、按期完成率；老板批复执行结果；落后时间进度事项。</t>
  </si>
  <si>
    <t>到期口径固定，跨周事项保留原计划不重置。</t>
  </si>
  <si>
    <t>未完成项滚入下周并说明新节点与责任。</t>
  </si>
  <si>
    <t>W09</t>
  </si>
  <si>
    <t>组织与人效</t>
  </si>
  <si>
    <t>关键岗位缺编、人员变动、人效/人均毛利、门店排班异常、关键培训/认证完成。</t>
  </si>
  <si>
    <t>只分析影响经营的差异；人效使用一致分母和期间。</t>
  </si>
  <si>
    <t>调整排班、招聘、激励或培训计划。</t>
  </si>
  <si>
    <t>异常/趋势</t>
  </si>
  <si>
    <t>W10</t>
  </si>
  <si>
    <t>经营纪律与内控</t>
  </si>
  <si>
    <t>负毛利/低价订单、越权审批、合同节点、盘点差异、发票/对账异常、数据迟报。</t>
  </si>
  <si>
    <t>按制度阈值和授权清单判断，不用口头解释替代证据。</t>
  </si>
  <si>
    <t>整改、追责或提交制度修订。</t>
  </si>
  <si>
    <t>异常清单</t>
  </si>
  <si>
    <t>W11</t>
  </si>
  <si>
    <t>风险变化</t>
  </si>
  <si>
    <t>红黄风险期初、增加、关闭、期末；影响金额、剩余敞口和逾期处置。</t>
  </si>
  <si>
    <t>风险必须有关闭证据；长期黄灯需说明是否升级。</t>
  </si>
  <si>
    <t>确认处置优先级和资源。</t>
  </si>
  <si>
    <t>风险矩阵</t>
  </si>
  <si>
    <t>W12</t>
  </si>
  <si>
    <t>政策/返利/重大合同</t>
  </si>
  <si>
    <t>Apple/Shure政策与返利节点、平台规则、重大合同、国补回款、供应商交付变化。</t>
  </si>
  <si>
    <t>按预计金额、确认条件、到账/履约日期和不确定性分层。</t>
  </si>
  <si>
    <t>确定谈判、催收、备货或风险对冲动作。</t>
  </si>
  <si>
    <t>专项清单</t>
  </si>
  <si>
    <t>每周/事件触发</t>
  </si>
  <si>
    <t>W13</t>
  </si>
  <si>
    <t>下周部署与决策</t>
  </si>
  <si>
    <t>下周经营目标、三项重点动作、责任人、里程碑、资源/授权需求、决策截止。</t>
  </si>
  <si>
    <t>目标必须量化并成为下周日报跟踪基线。</t>
  </si>
  <si>
    <t>老板确认后锁定，不随意重置。</t>
  </si>
  <si>
    <t>周报结尾</t>
  </si>
  <si>
    <t>周会确认</t>
  </si>
  <si>
    <t>月度经营管理报告框架</t>
  </si>
  <si>
    <t>月报看完整损益、现金、资产质量、组织效能与资源配置，使用财务最终口径</t>
  </si>
  <si>
    <t>M01</t>
  </si>
  <si>
    <t>月度经营结论</t>
  </si>
  <si>
    <t>一页呈现经营结果、预算偏差、现金与库存质量、主要风险、管理评价及下月三项决策。</t>
  </si>
  <si>
    <t>实际对预算/目标、去年同期、上月和滚动预测。</t>
  </si>
  <si>
    <t>形成下月预算、经营目标和资源配置决定。</t>
  </si>
  <si>
    <t>次月5日前</t>
  </si>
  <si>
    <t>M02</t>
  </si>
  <si>
    <t>完整损益</t>
  </si>
  <si>
    <t>销售收入、销售成本、毛利、经营费用、营业利润/净利润、净利率；预算与同比差异。</t>
  </si>
  <si>
    <t>财务最终口径；拆出暂估返利、一次性事项和会计调整。</t>
  </si>
  <si>
    <t>解释重大差异并确定整改责任。</t>
  </si>
  <si>
    <t>月结</t>
  </si>
  <si>
    <t>M03</t>
  </si>
  <si>
    <t>预算与滚动预测</t>
  </si>
  <si>
    <t>本月达成、年累计、年度预算进度、未来3个月滚动预测、缺口和关键假设。</t>
  </si>
  <si>
    <t>实际/预算/预测版本可追溯；偏差按金额和比例。</t>
  </si>
  <si>
    <t>调整目标、费用、库存和现金计划。</t>
  </si>
  <si>
    <t>月结后</t>
  </si>
  <si>
    <t>M04</t>
  </si>
  <si>
    <t>板块经营质量</t>
  </si>
  <si>
    <t>APR、Apple电商、Shure电商、3PP：收入、毛利、可控费用、贡献利润、现金/库存占用、同比和预算。</t>
  </si>
  <si>
    <t>统一内部管理口径，避免只按GMV排名。</t>
  </si>
  <si>
    <t>决定资源倾斜、整改或退出。</t>
  </si>
  <si>
    <t>贡献矩阵</t>
  </si>
  <si>
    <t>每月</t>
  </si>
  <si>
    <t>M05</t>
  </si>
  <si>
    <t>门店/渠道组合</t>
  </si>
  <si>
    <t>同店增长、门店/渠道贡献、盈利分层、效率排名、持续亏损/低效单元。</t>
  </si>
  <si>
    <t>剔除新开/关店和一次性活动影响；同店口径固定。</t>
  </si>
  <si>
    <t>形成激励、整改、资源调整清单。</t>
  </si>
  <si>
    <t>主表+附表</t>
  </si>
  <si>
    <t>M06</t>
  </si>
  <si>
    <t>商品与毛利结构</t>
  </si>
  <si>
    <t>主机/配件/服务、Shure核心SKU、3PP品牌/项目的销售占比、毛利贡献、新品和低效SKU。</t>
  </si>
  <si>
    <t>拆解价格、销量、品类/渠道结构对毛利率的影响。</t>
  </si>
  <si>
    <t>调整选品、价格、促销和采购。</t>
  </si>
  <si>
    <t>M07</t>
  </si>
  <si>
    <t>费用与投入产出</t>
  </si>
  <si>
    <t>人工、租金、推广、平台、优惠、物流、售后等费用及费用率；活动增量毛利、ROAS。</t>
  </si>
  <si>
    <t>区分固定/变动、可控/不可控、经常/一次性。</t>
  </si>
  <si>
    <t>确定降本和投放预算。</t>
  </si>
  <si>
    <t>费用结构</t>
  </si>
  <si>
    <t>M08</t>
  </si>
  <si>
    <t>现金流与营运资金</t>
  </si>
  <si>
    <t>经营现金净流量、资金余额/受限资金、应收/应付、DSO/DIO/DPO、现金转换周期、未来30/60/90天需求。</t>
  </si>
  <si>
    <t>现金流与利润差异解释；大额收付款有合同/审批依据。</t>
  </si>
  <si>
    <t>形成融资、收款、付款和库存压降计划。</t>
  </si>
  <si>
    <t>M09</t>
  </si>
  <si>
    <t>库存质量与减值</t>
  </si>
  <si>
    <t>库存金额、库龄、周转、GMROI、90天+/180天+、残次/样机、盘点差异、预计跌价/清理损失。</t>
  </si>
  <si>
    <t>库存成本、可售状态和库龄规则统一；减值风险单独列示。</t>
  </si>
  <si>
    <t>确定采购、调拨、清库、减值和责任措施。</t>
  </si>
  <si>
    <t>M10</t>
  </si>
  <si>
    <t>应收、返利与信用</t>
  </si>
  <si>
    <t>应收账龄、逾期率、回款率、客户/平台信用风险；品牌返利预计、已确认、已到账及差异。</t>
  </si>
  <si>
    <t>未满足确认条件的返利不作为确定利润；客户信用额度留痕。</t>
  </si>
  <si>
    <t>形成催收、信用收紧、返利跟进计划。</t>
  </si>
  <si>
    <t>M11</t>
  </si>
  <si>
    <t>集中度与外部依赖</t>
  </si>
  <si>
    <t>前五客户/渠道/供应商销售、毛利和应收占比；重大政策、平台和供应风险。</t>
  </si>
  <si>
    <t>集中度按统一主体归并，关联客户不重复拆分。</t>
  </si>
  <si>
    <t>制定备选渠道、客户和供应安排。</t>
  </si>
  <si>
    <t>风险摘要</t>
  </si>
  <si>
    <t>M12</t>
  </si>
  <si>
    <t>组织效能</t>
  </si>
  <si>
    <t>编制、在岗、流失、关键岗位缺口、人效、人均毛利、人工成本率、培训/认证、关键人才风险。</t>
  </si>
  <si>
    <t>按责任单元比较，避免只看人数不看产出。</t>
  </si>
  <si>
    <t>确定招聘、调整、激励与培养方案。</t>
  </si>
  <si>
    <t>M13</t>
  </si>
  <si>
    <t>战略项目与资本投入</t>
  </si>
  <si>
    <t>新店/改造、系统、渠道拓展、新品牌/产品导入等项目预算、实际、里程碑、收益和偏差。</t>
  </si>
  <si>
    <t>项目立项、预算、验收和收益口径一致。</t>
  </si>
  <si>
    <t>继续、调整、暂停或追加资源。</t>
  </si>
  <si>
    <t>项目组合</t>
  </si>
  <si>
    <t>M14</t>
  </si>
  <si>
    <t>内控与合规</t>
  </si>
  <si>
    <t>合同、价格、采购、付款、发票、税务、盘点、平台规则、信息安全、印章/权限等重大异常及整改。</t>
  </si>
  <si>
    <t>参照上市公司经营会的重大性、责任、证据和闭环逻辑，但按公司现有制度落地。</t>
  </si>
  <si>
    <t>整改、问责、制度修订或专项审计。</t>
  </si>
  <si>
    <t>每月/事件触发</t>
  </si>
  <si>
    <t>M15</t>
  </si>
  <si>
    <t>管理承诺兑现</t>
  </si>
  <si>
    <t>上月行动项完成率、逾期项、老板批复执行、重复发生问题、数据及时与准确情况。</t>
  </si>
  <si>
    <t>只以验证结果认定关闭，不以“已沟通”认定完成。</t>
  </si>
  <si>
    <t>纳入负责人月度评价。</t>
  </si>
  <si>
    <t>M16</t>
  </si>
  <si>
    <t>重大风险与或有事项</t>
  </si>
  <si>
    <t>经营、库存、信用、平台、合规、人员、数据风险；合同承诺、争议、诉讼/处罚、预计损失和剩余敞口。</t>
  </si>
  <si>
    <t>按影响金额、发生概率、可控性和时效分级。</t>
  </si>
  <si>
    <t>确认风险偏好、处置预算和负责人。</t>
  </si>
  <si>
    <t>M17</t>
  </si>
  <si>
    <t>下月目标与资源决策</t>
  </si>
  <si>
    <t>销售、毛利、费用、现金、库存目标；重点动作、预算、人力、库存和授权需求；责任人与里程碑。</t>
  </si>
  <si>
    <t>目标与年度预算、滚动预测和风险承受能力一致。</t>
  </si>
  <si>
    <t>老板确认后成为下月日报/周报基线。</t>
  </si>
  <si>
    <t>报告结尾</t>
  </si>
  <si>
    <t>月会确认</t>
  </si>
  <si>
    <t>业务板块经营分析边界</t>
  </si>
  <si>
    <t>收入板块与职能支撑分开；渠道范围按江苏传天羽当前实际业务确定</t>
  </si>
  <si>
    <t>四大经营板块：APR门店、Apple电商、Shure电商、3PP/渠道分销。内容营销、综合办/人事、财务、采销/商务属于经营支撑，不重复计入销售。</t>
  </si>
  <si>
    <t>业务单元</t>
  </si>
  <si>
    <t>实际渠道/范围</t>
  </si>
  <si>
    <t>经营结果</t>
  </si>
  <si>
    <t>盈利质量</t>
  </si>
  <si>
    <t>关键经营驱动</t>
  </si>
  <si>
    <t>库存与资金</t>
  </si>
  <si>
    <t>日报主表</t>
  </si>
  <si>
    <t>周/月下钻</t>
  </si>
  <si>
    <t>公司总盘</t>
  </si>
  <si>
    <t>四大经营板块汇总</t>
  </si>
  <si>
    <t>实销、毛利、目标达成、订单</t>
  </si>
  <si>
    <t>贡献毛利、预算差异</t>
  </si>
  <si>
    <t>板块增量贡献</t>
  </si>
  <si>
    <t>库存、应收、现金预警</t>
  </si>
  <si>
    <t>任务完成、数据质量</t>
  </si>
  <si>
    <t>重大风险、老板决策</t>
  </si>
  <si>
    <t>结论+异常</t>
  </si>
  <si>
    <t>完整损益、现金与资源配置</t>
  </si>
  <si>
    <t>APR门店</t>
  </si>
  <si>
    <t>各Apple授权零售门店</t>
  </si>
  <si>
    <t>门店销售、毛利、完成率</t>
  </si>
  <si>
    <t>同店增长、门店贡献</t>
  </si>
  <si>
    <t>客流、转化、客单、配件/服务连带、ACS、Trade In、Setup</t>
  </si>
  <si>
    <t>门店库存、缺货、90天+、样机/残次</t>
  </si>
  <si>
    <t>排班、人效、培训认证、门店合规</t>
  </si>
  <si>
    <t>低效门店、价格/激活/陈列风险</t>
  </si>
  <si>
    <t>仅TOP/末位和异常店</t>
  </si>
  <si>
    <t>门店/员工/品类下钻</t>
  </si>
  <si>
    <t>Apple电商</t>
  </si>
  <si>
    <t>京东羽通、苏宁啟韬；不含天猫</t>
  </si>
  <si>
    <t>GMV、实销、订单、毛利</t>
  </si>
  <si>
    <t>净贡献、费用率、退款影响</t>
  </si>
  <si>
    <t>UV、转化、客单、推广ROAS、履约</t>
  </si>
  <si>
    <t>渠道库存、缺货、库龄、激活</t>
  </si>
  <si>
    <t>活动节点、客服与售后效率</t>
  </si>
  <si>
    <t>负毛利、异常优惠、平台/激活风险</t>
  </si>
  <si>
    <t>两渠道异常摘要</t>
  </si>
  <si>
    <t>平台、活动、SKU下钻</t>
  </si>
  <si>
    <t>Shure电商</t>
  </si>
  <si>
    <t>京东官方旗舰店、天猫官方旗舰店</t>
  </si>
  <si>
    <t>实销、订单、毛利、目标</t>
  </si>
  <si>
    <t>净贡献、SKU毛利结构</t>
  </si>
  <si>
    <t>UV、转化、客单、推广ROAS、核心产品</t>
  </si>
  <si>
    <t>库存、周转、90天+、缺货</t>
  </si>
  <si>
    <t>活动、客服、售后、内容协同</t>
  </si>
  <si>
    <t>核心SKU集中、滞销、平台风险</t>
  </si>
  <si>
    <t>异常摘要</t>
  </si>
  <si>
    <t>平台、品类、SKU下钻</t>
  </si>
  <si>
    <t>3PP/渠道分销</t>
  </si>
  <si>
    <t>品牌、客户、项目、区域与铺货门店</t>
  </si>
  <si>
    <t>销售、毛利、订单、客户</t>
  </si>
  <si>
    <t>客户/项目贡献、返利影响</t>
  </si>
  <si>
    <t>新增客户、产品导入、铺货、动销</t>
  </si>
  <si>
    <t>库存、应收、回款、信用额度</t>
  </si>
  <si>
    <t>项目里程碑、合同与交付</t>
  </si>
  <si>
    <t>逾期应收、项目、合规和库存风险</t>
  </si>
  <si>
    <t>客户、品牌、项目、产品下钻</t>
  </si>
  <si>
    <t>内容营销</t>
  </si>
  <si>
    <t>小红书、抖音、视频号等经营支撑</t>
  </si>
  <si>
    <t>不作为独立收入板块</t>
  </si>
  <si>
    <t>投入与辅助转化/活动增量</t>
  </si>
  <si>
    <t>发布、触达、互动、引流、门店矩阵</t>
  </si>
  <si>
    <t>不单列经营库存</t>
  </si>
  <si>
    <t>计划完成、内容质量、协同效率</t>
  </si>
  <si>
    <t>舆情、违规、预算和交付风险</t>
  </si>
  <si>
    <t>只报爆款/未完成/异常</t>
  </si>
  <si>
    <t>周/月复盘投入产出</t>
  </si>
  <si>
    <t>职能保障</t>
  </si>
  <si>
    <t>综合办/人事、财务、采销/商务</t>
  </si>
  <si>
    <t>不并入经营板块销售</t>
  </si>
  <si>
    <t>费用、资金、资源效率</t>
  </si>
  <si>
    <t>制度、人员、供应链与数据保障</t>
  </si>
  <si>
    <t>库存资金、应收应付、盘点</t>
  </si>
  <si>
    <t>重点任务、内控、数据质量</t>
  </si>
  <si>
    <t>人员、合同、资金、税务、信息安全</t>
  </si>
  <si>
    <t>只报经营影响异常</t>
  </si>
  <si>
    <t>月度组织与治理复盘</t>
  </si>
  <si>
    <t>核心指标口径与日周月频率矩阵</t>
  </si>
  <si>
    <t>指标必须可计算、可追溯；日报不稳定取得的指标不得伪装成实时数据</t>
  </si>
  <si>
    <t>正式运行前只需由老板/财务确认含税口径、返利确认、核心SKU、预算版本和红黄阈值；其余计算关系已明确。</t>
  </si>
  <si>
    <t>指标ID</t>
  </si>
  <si>
    <t>分类</t>
  </si>
  <si>
    <t>指标</t>
  </si>
  <si>
    <t>老板用途</t>
  </si>
  <si>
    <t>定义/计算口径</t>
  </si>
  <si>
    <t>单位</t>
  </si>
  <si>
    <t>日报</t>
  </si>
  <si>
    <t>周报</t>
  </si>
  <si>
    <t>月报</t>
  </si>
  <si>
    <t>主要来源</t>
  </si>
  <si>
    <t>责任端口</t>
  </si>
  <si>
    <t>控制说明</t>
  </si>
  <si>
    <t>F01</t>
  </si>
  <si>
    <t>实销收入</t>
  </si>
  <si>
    <t>看真实经营规模</t>
  </si>
  <si>
    <t>以公司确认的含税/不含税口径，扣除取消及退货冲减；GMV另列</t>
  </si>
  <si>
    <t>元</t>
  </si>
  <si>
    <t>必看</t>
  </si>
  <si>
    <t>ERP/吉客云+平台</t>
  </si>
  <si>
    <t>财务/业务</t>
  </si>
  <si>
    <t>确认/暂估标识</t>
  </si>
  <si>
    <t>F02</t>
  </si>
  <si>
    <t>毛利额</t>
  </si>
  <si>
    <t>看销售质量</t>
  </si>
  <si>
    <t>实销收入－销售成本；补贴、返利是否计入须统一</t>
  </si>
  <si>
    <t>ERP/财务</t>
  </si>
  <si>
    <t>财务</t>
  </si>
  <si>
    <t>日报可暂估</t>
  </si>
  <si>
    <t>F03</t>
  </si>
  <si>
    <t>毛利率</t>
  </si>
  <si>
    <t>看利润质量</t>
  </si>
  <si>
    <t>毛利额÷实销收入</t>
  </si>
  <si>
    <t>%</t>
  </si>
  <si>
    <t>自动计算</t>
  </si>
  <si>
    <t>分母为0显示-</t>
  </si>
  <si>
    <t>F04</t>
  </si>
  <si>
    <t>贡献毛利</t>
  </si>
  <si>
    <t>判断渠道/活动是否真正创造价值</t>
  </si>
  <si>
    <t>毛利额－可直接归属的推广、平台、优惠、物流、售后等变动费用</t>
  </si>
  <si>
    <t>摘要/异常</t>
  </si>
  <si>
    <t>财务+平台</t>
  </si>
  <si>
    <t>财务/电商</t>
  </si>
  <si>
    <t>不得称净利润</t>
  </si>
  <si>
    <t>F05</t>
  </si>
  <si>
    <t>费用率</t>
  </si>
  <si>
    <t>识别投入过重</t>
  </si>
  <si>
    <t>期间经营费用÷实销收入；日报仅取可归属变动费用</t>
  </si>
  <si>
    <t>异常</t>
  </si>
  <si>
    <t>固定/变动分开</t>
  </si>
  <si>
    <t>F06</t>
  </si>
  <si>
    <t>目标管理</t>
  </si>
  <si>
    <t>目标达成率</t>
  </si>
  <si>
    <t>判断是否完成计划</t>
  </si>
  <si>
    <t>期间实际÷期间目标</t>
  </si>
  <si>
    <t>目标台账+ERP</t>
  </si>
  <si>
    <t>业务/财务</t>
  </si>
  <si>
    <t>目标版本锁定</t>
  </si>
  <si>
    <t>F07</t>
  </si>
  <si>
    <t>时间进度</t>
  </si>
  <si>
    <t>判断目标进度偏差</t>
  </si>
  <si>
    <t>已过经营日÷当期总经营日；节假日可使用预算权重</t>
  </si>
  <si>
    <t>摘要</t>
  </si>
  <si>
    <t>日历/预算</t>
  </si>
  <si>
    <t>总经办/财务</t>
  </si>
  <si>
    <t>与达成率并列</t>
  </si>
  <si>
    <t>F08</t>
  </si>
  <si>
    <t>月末滚动预测</t>
  </si>
  <si>
    <t>提前判断月末能否达成</t>
  </si>
  <si>
    <t>月累计实际÷累计经营日权重×全月经营日权重</t>
  </si>
  <si>
    <t>ERP+预算</t>
  </si>
  <si>
    <t>标注预测版本</t>
  </si>
  <si>
    <t>F09</t>
  </si>
  <si>
    <t>经营驱动</t>
  </si>
  <si>
    <t>客单价</t>
  </si>
  <si>
    <t>定位价格/结构变化</t>
  </si>
  <si>
    <t>实销收入÷成交订单数</t>
  </si>
  <si>
    <t>元/单</t>
  </si>
  <si>
    <t>ERP/平台</t>
  </si>
  <si>
    <t>业务</t>
  </si>
  <si>
    <t>F10</t>
  </si>
  <si>
    <t>转化率</t>
  </si>
  <si>
    <t>定位成交效率</t>
  </si>
  <si>
    <t>成交订单÷客流（线下）或支付订单÷UV（线上）</t>
  </si>
  <si>
    <t>客流/平台</t>
  </si>
  <si>
    <t>APR/电商</t>
  </si>
  <si>
    <t>线下线上不可混算</t>
  </si>
  <si>
    <t>F11</t>
  </si>
  <si>
    <t>同店增长率</t>
  </si>
  <si>
    <t>识别存量门店真实增长</t>
  </si>
  <si>
    <t>可比门店本期实销÷同期实销－1</t>
  </si>
  <si>
    <t>否</t>
  </si>
  <si>
    <t>重点</t>
  </si>
  <si>
    <t>ERP+门店清单</t>
  </si>
  <si>
    <t>APR/财务</t>
  </si>
  <si>
    <t>剔除新开关店</t>
  </si>
  <si>
    <t>F12</t>
  </si>
  <si>
    <t>配件/服务连带率</t>
  </si>
  <si>
    <t>看APR利润结构</t>
  </si>
  <si>
    <t>配件件数或服务单数÷主机台数；口径分别列示</t>
  </si>
  <si>
    <t>ERP/MyBusiness</t>
  </si>
  <si>
    <t>APR</t>
  </si>
  <si>
    <t>不得混为一个分子</t>
  </si>
  <si>
    <t>营销效率</t>
  </si>
  <si>
    <t>推广ROAS</t>
  </si>
  <si>
    <t>判断广告回报</t>
  </si>
  <si>
    <t>平台归因支付销售额÷推广费</t>
  </si>
  <si>
    <t>倍</t>
  </si>
  <si>
    <t>异常/必看</t>
  </si>
  <si>
    <t>平台广告后台</t>
  </si>
  <si>
    <t>电商/内容营销</t>
  </si>
  <si>
    <t>归因窗口统一</t>
  </si>
  <si>
    <t>活动增量毛利</t>
  </si>
  <si>
    <t>避免只看活动GMV</t>
  </si>
  <si>
    <t>活动增量实销×增量毛利率－活动增量费用</t>
  </si>
  <si>
    <t>活动台账+财务</t>
  </si>
  <si>
    <t>活动负责人</t>
  </si>
  <si>
    <t>需设置对照基线</t>
  </si>
  <si>
    <t>I01</t>
  </si>
  <si>
    <t>库存</t>
  </si>
  <si>
    <t>库存金额</t>
  </si>
  <si>
    <t>看资金占用</t>
  </si>
  <si>
    <t>期末可售库存成本；在途、样机、残次单列</t>
  </si>
  <si>
    <t>ERP/吉客云</t>
  </si>
  <si>
    <t>采销/财务</t>
  </si>
  <si>
    <t>成本口径</t>
  </si>
  <si>
    <t>I02</t>
  </si>
  <si>
    <t>90天+/180天+库存</t>
  </si>
  <si>
    <t>看老化与减值风险</t>
  </si>
  <si>
    <t>按统一入库批次库龄规则汇总</t>
  </si>
  <si>
    <t>元/%</t>
  </si>
  <si>
    <t>ERP/库存分析</t>
  </si>
  <si>
    <t>金额与占比同时</t>
  </si>
  <si>
    <t>I03</t>
  </si>
  <si>
    <t>库存周转天数</t>
  </si>
  <si>
    <t>看库存效率</t>
  </si>
  <si>
    <t>平均库存成本÷期间销售成本×期间天数</t>
  </si>
  <si>
    <t>天</t>
  </si>
  <si>
    <t>财务/采销</t>
  </si>
  <si>
    <t>建议滚动30/90天</t>
  </si>
  <si>
    <t>I04</t>
  </si>
  <si>
    <t>存销比</t>
  </si>
  <si>
    <t>看库存水位</t>
  </si>
  <si>
    <t>期末库存数量或金额÷近4周平均周销量/销售成本</t>
  </si>
  <si>
    <t>周/月</t>
  </si>
  <si>
    <t>ERP</t>
  </si>
  <si>
    <t>采销</t>
  </si>
  <si>
    <t>数量和金额勿混用</t>
  </si>
  <si>
    <t>I05</t>
  </si>
  <si>
    <t>GMROI</t>
  </si>
  <si>
    <t>看库存毛利回报</t>
  </si>
  <si>
    <t>期间毛利额÷平均库存成本</t>
  </si>
  <si>
    <t>参考</t>
  </si>
  <si>
    <t>期间统一</t>
  </si>
  <si>
    <t>I06</t>
  </si>
  <si>
    <t>核心SKU缺货</t>
  </si>
  <si>
    <t>看销售损失风险</t>
  </si>
  <si>
    <t>核心在售SKU可售库存为0或低于安全库存</t>
  </si>
  <si>
    <t>SKU数/影响额</t>
  </si>
  <si>
    <t>采销/业务</t>
  </si>
  <si>
    <t>附预计损失</t>
  </si>
  <si>
    <t>C01</t>
  </si>
  <si>
    <t>资金信用</t>
  </si>
  <si>
    <t>逾期应收</t>
  </si>
  <si>
    <t>看现金回收风险</t>
  </si>
  <si>
    <t>超过合同账期且未收回的应收，按账龄分层</t>
  </si>
  <si>
    <t>财务台账</t>
  </si>
  <si>
    <t>财务/3PP</t>
  </si>
  <si>
    <t>关联责任客户</t>
  </si>
  <si>
    <t>C02</t>
  </si>
  <si>
    <t>回款率</t>
  </si>
  <si>
    <t>看应收执行</t>
  </si>
  <si>
    <t>期间已回款÷期间应回款</t>
  </si>
  <si>
    <t>应回款口径固定</t>
  </si>
  <si>
    <t>C03</t>
  </si>
  <si>
    <t>经营现金净流量</t>
  </si>
  <si>
    <t>看利润含金量</t>
  </si>
  <si>
    <t>经营活动现金流入－经营活动现金流出</t>
  </si>
  <si>
    <t>趋势</t>
  </si>
  <si>
    <t>银行/财务</t>
  </si>
  <si>
    <t>月报最终口径</t>
  </si>
  <si>
    <t>C04</t>
  </si>
  <si>
    <t>现金转换周期</t>
  </si>
  <si>
    <t>看营运资金效率</t>
  </si>
  <si>
    <t>DIO＋DSO－DPO</t>
  </si>
  <si>
    <t>月度/滚动</t>
  </si>
  <si>
    <t>C05</t>
  </si>
  <si>
    <t>返利实现率</t>
  </si>
  <si>
    <t>看返利兑现与利润质量</t>
  </si>
  <si>
    <t>已到账或满足确认条件金额÷预计返利金额</t>
  </si>
  <si>
    <t>品牌政策/财务</t>
  </si>
  <si>
    <t>预计、确认、到账分列</t>
  </si>
  <si>
    <t>S01</t>
  </si>
  <si>
    <t>客户服务</t>
  </si>
  <si>
    <t>退货退款率</t>
  </si>
  <si>
    <t>看销售后质量</t>
  </si>
  <si>
    <t>退款实付金额÷实销收入；退货件数率另列</t>
  </si>
  <si>
    <t>平台/ERP</t>
  </si>
  <si>
    <t>业务/售后</t>
  </si>
  <si>
    <t>金额率与件数率分开</t>
  </si>
  <si>
    <t>S02</t>
  </si>
  <si>
    <t>重大投诉</t>
  </si>
  <si>
    <t>看品牌与资金风险</t>
  </si>
  <si>
    <t>按公司重大投诉标准确认的事件数及影响金额</t>
  </si>
  <si>
    <t>件/元</t>
  </si>
  <si>
    <t>复盘</t>
  </si>
  <si>
    <t>客服/售后台账</t>
  </si>
  <si>
    <t>业务/总经办</t>
  </si>
  <si>
    <t>无则显示无</t>
  </si>
  <si>
    <t>G01</t>
  </si>
  <si>
    <t>管理执行</t>
  </si>
  <si>
    <t>重点事项按期完成率</t>
  </si>
  <si>
    <t>看管理承诺兑现</t>
  </si>
  <si>
    <t>到期且按期完成事项÷本期应到期事项</t>
  </si>
  <si>
    <t>事项台账</t>
  </si>
  <si>
    <t>总经办</t>
  </si>
  <si>
    <t>跨期不重置</t>
  </si>
  <si>
    <t>G02</t>
  </si>
  <si>
    <t>进度偏差</t>
  </si>
  <si>
    <t>识别执行滞后</t>
  </si>
  <si>
    <t>实际完成进度－时间进度</t>
  </si>
  <si>
    <t>百分点</t>
  </si>
  <si>
    <t>责任人/总经办</t>
  </si>
  <si>
    <t>负值为落后</t>
  </si>
  <si>
    <t>G03</t>
  </si>
  <si>
    <t>组织</t>
  </si>
  <si>
    <t>人效/人均毛利</t>
  </si>
  <si>
    <t>看组织产出</t>
  </si>
  <si>
    <t>实销收入或毛利额÷平均在岗人数</t>
  </si>
  <si>
    <t>元/人</t>
  </si>
  <si>
    <t>人事+财务</t>
  </si>
  <si>
    <t>人事/财务</t>
  </si>
  <si>
    <t>建议主用人均毛利</t>
  </si>
  <si>
    <t>G04</t>
  </si>
  <si>
    <t>数据治理</t>
  </si>
  <si>
    <t>数据及时率</t>
  </si>
  <si>
    <t>看报送纪律</t>
  </si>
  <si>
    <t>按时提交的数据包÷应提交数据包</t>
  </si>
  <si>
    <t>报送记录</t>
  </si>
  <si>
    <t>截止时间统一</t>
  </si>
  <si>
    <t>G05</t>
  </si>
  <si>
    <t>数据完整率</t>
  </si>
  <si>
    <t>看简报可信度</t>
  </si>
  <si>
    <t>已取得关键字段÷应取得关键字段</t>
  </si>
  <si>
    <t>数据质量台账</t>
  </si>
  <si>
    <t>关键字段加权</t>
  </si>
  <si>
    <t>R01</t>
  </si>
  <si>
    <t>风险</t>
  </si>
  <si>
    <t>剩余风险敞口</t>
  </si>
  <si>
    <t>看风险是否真正受控</t>
  </si>
  <si>
    <t>预计最大影响－已落实且可验证的缓释金额</t>
  </si>
  <si>
    <t>元/等级</t>
  </si>
  <si>
    <t>风险台账</t>
  </si>
  <si>
    <t>责任部门/总经办</t>
  </si>
  <si>
    <t>关闭需证据</t>
  </si>
  <si>
    <t>经营预警、升级与老板决策规则</t>
  </si>
  <si>
    <t>将“异常”变成统一的红黄规则、责任动作和升级路径</t>
  </si>
  <si>
    <t>表中数值为建议阈值。老板批准后固化为公司规则；重大客诉、平台处罚、资金安全和越权事项不受金额阈值限制，事件触发即上报。</t>
  </si>
  <si>
    <t>规则ID</t>
  </si>
  <si>
    <t>风险类型</t>
  </si>
  <si>
    <t>指标/事件</t>
  </si>
  <si>
    <t>黄色关注</t>
  </si>
  <si>
    <t>红色预警</t>
  </si>
  <si>
    <t>责任人必须采取的动作</t>
  </si>
  <si>
    <t>升级对象</t>
  </si>
  <si>
    <t>频率</t>
  </si>
  <si>
    <t>经营</t>
  </si>
  <si>
    <t>目标进度偏差</t>
  </si>
  <si>
    <t>达成率落后时间进度5-10个百分点</t>
  </si>
  <si>
    <t>落后超过10个百分点或月末预测低于目标10%</t>
  </si>
  <si>
    <t>提交差额、原因和追赶动作</t>
  </si>
  <si>
    <t>日报首页/周会</t>
  </si>
  <si>
    <t>业务负责人</t>
  </si>
  <si>
    <t>日/周</t>
  </si>
  <si>
    <t>建议阈值，运行前批准</t>
  </si>
  <si>
    <t>R02</t>
  </si>
  <si>
    <t>销售异常下滑</t>
  </si>
  <si>
    <t>较上周同日下降10%-20%</t>
  </si>
  <si>
    <t>下降超过20%且非活动/节假日口径原因</t>
  </si>
  <si>
    <t>拆解客流/UV、转化、客单和缺货</t>
  </si>
  <si>
    <t>经营负责人</t>
  </si>
  <si>
    <t>各板块</t>
  </si>
  <si>
    <t>日</t>
  </si>
  <si>
    <t>与预算和季节性共同判断</t>
  </si>
  <si>
    <t>R03</t>
  </si>
  <si>
    <t>利润</t>
  </si>
  <si>
    <t>毛利率偏差</t>
  </si>
  <si>
    <t>低于目标1-2个百分点</t>
  </si>
  <si>
    <t>低于目标超过2个百分点或出现负毛利订单</t>
  </si>
  <si>
    <t>核查价格、成本、优惠和返利</t>
  </si>
  <si>
    <t>财务负责人/老板</t>
  </si>
  <si>
    <t>负毛利事件优先</t>
  </si>
  <si>
    <t>R04</t>
  </si>
  <si>
    <t>费用</t>
  </si>
  <si>
    <t>贡献毛利/投放异常</t>
  </si>
  <si>
    <t>ROAS或贡献毛利低于目标</t>
  </si>
  <si>
    <t>贡献毛利为负或预算消耗显著超进度</t>
  </si>
  <si>
    <t>暂停/调整投放并复核归因</t>
  </si>
  <si>
    <t>电商负责人</t>
  </si>
  <si>
    <t>电商/财务</t>
  </si>
  <si>
    <t>活动应看增量毛利</t>
  </si>
  <si>
    <t>R05</t>
  </si>
  <si>
    <t>超龄库存</t>
  </si>
  <si>
    <t>90天+金额或占比超过目标</t>
  </si>
  <si>
    <t>180天+增长或预计发生重大跌价损失</t>
  </si>
  <si>
    <t>形成SKU清库、调拨、退换和减值评估</t>
  </si>
  <si>
    <t>经营会/老板</t>
  </si>
  <si>
    <t>日/周/月</t>
  </si>
  <si>
    <t>金额和责任渠道并列</t>
  </si>
  <si>
    <t>R06</t>
  </si>
  <si>
    <t>低于安全库存且在途可覆盖</t>
  </si>
  <si>
    <t>可售为0、影响重点活动或预计损失越线</t>
  </si>
  <si>
    <t>调拨、补货、替代销售和到货追踪</t>
  </si>
  <si>
    <t>实时/日</t>
  </si>
  <si>
    <t>核心SKU名单需批准</t>
  </si>
  <si>
    <t>R07</t>
  </si>
  <si>
    <t>资金</t>
  </si>
  <si>
    <t>逾期1-30天或金额超过部门阈值</t>
  </si>
  <si>
    <t>逾期超过30/60天、客户信用恶化或回款承诺失效</t>
  </si>
  <si>
    <t>催收、暂停授信/发货、升级法务或老板</t>
  </si>
  <si>
    <t>阈值按客户信用政策</t>
  </si>
  <si>
    <t>R08</t>
  </si>
  <si>
    <t>异常退款/账实差异</t>
  </si>
  <si>
    <t>单笔或当日累计超过部门阈值</t>
  </si>
  <si>
    <t>大额、重复、原因不明或不能在当日解释</t>
  </si>
  <si>
    <t>冻结相关流程、核对订单/资金/审批</t>
  </si>
  <si>
    <t>财务负责人</t>
  </si>
  <si>
    <t>保留证据</t>
  </si>
  <si>
    <t>R09</t>
  </si>
  <si>
    <t>客户/平台</t>
  </si>
  <si>
    <t>重大投诉、处罚或舆情</t>
  </si>
  <si>
    <t>升级投诉、连续差评或平台警告</t>
  </si>
  <si>
    <t>公开舆情、平台处罚/关停、重大品牌或资金影响</t>
  </si>
  <si>
    <t>即时上报、统一口径、明确处理人与时限</t>
  </si>
  <si>
    <t>老板</t>
  </si>
  <si>
    <t>实时</t>
  </si>
  <si>
    <t>无事件不占日报篇幅</t>
  </si>
  <si>
    <t>R10</t>
  </si>
  <si>
    <t>执行</t>
  </si>
  <si>
    <t>重点事项进度</t>
  </si>
  <si>
    <t>实际进度落后时间进度10-20个百分点</t>
  </si>
  <si>
    <t>落后超过20个百分点或逾期</t>
  </si>
  <si>
    <t>纠偏计划、资源需求、重新承诺节点</t>
  </si>
  <si>
    <t>总经办/老板</t>
  </si>
  <si>
    <t>事项责任人</t>
  </si>
  <si>
    <t>原计划保留</t>
  </si>
  <si>
    <t>R11</t>
  </si>
  <si>
    <t>内控</t>
  </si>
  <si>
    <t>价格、合同、采购或付款越权</t>
  </si>
  <si>
    <t>资料不完整、审批临期或偏离标准</t>
  </si>
  <si>
    <t>未经授权执行、重大合同风险或疑似舞弊</t>
  </si>
  <si>
    <t>停止执行、补充审批、专项核查</t>
  </si>
  <si>
    <t>财务/老板</t>
  </si>
  <si>
    <t>责任部门</t>
  </si>
  <si>
    <t>按授权制度落地</t>
  </si>
  <si>
    <t>R12</t>
  </si>
  <si>
    <t>关键岗位/人员风险</t>
  </si>
  <si>
    <t>关键岗位缺编或异常缺勤影响排班</t>
  </si>
  <si>
    <t>核心人员突然流失、劳动争议或经营中断风险</t>
  </si>
  <si>
    <t>替补、招聘、交接和合规处理</t>
  </si>
  <si>
    <t>分管负责人/老板</t>
  </si>
  <si>
    <t>综合办/人事</t>
  </si>
  <si>
    <t>普通考勤不进入首页</t>
  </si>
  <si>
    <t>R13</t>
  </si>
  <si>
    <t>数据</t>
  </si>
  <si>
    <t>关键数据迟报/差异</t>
  </si>
  <si>
    <t>非关键字段缺失或超过截止30分钟</t>
  </si>
  <si>
    <t>关键经营/财务数据缺失、接口失败或合计不勾稽</t>
  </si>
  <si>
    <t>标暂估/待确认，指定修复人与时间</t>
  </si>
  <si>
    <t>数据责任部门</t>
  </si>
  <si>
    <t>每日</t>
  </si>
  <si>
    <t>禁止静默补数</t>
  </si>
  <si>
    <t>R14</t>
  </si>
  <si>
    <t>决策</t>
  </si>
  <si>
    <t>老板批复未闭环</t>
  </si>
  <si>
    <t>接收未确认或节点临近</t>
  </si>
  <si>
    <t>批复执行逾期、结果未验证或问题重复发生</t>
  </si>
  <si>
    <t>自动升级并追踪验证证据</t>
  </si>
  <si>
    <t>老板/总经办</t>
  </si>
  <si>
    <t>批复必须关联事项ID</t>
  </si>
  <si>
    <t>数据包责任、复核与呈报时效</t>
  </si>
  <si>
    <t>明确谁提供、谁复核、何时截止、系统异常时如何替代</t>
  </si>
  <si>
    <t>运行纪律：关键数据不齐时不得静默补数；应带“暂估/待确认/缺失”标识按时呈报，并同步责任人和修复时间。</t>
  </si>
  <si>
    <t>数据包</t>
  </si>
  <si>
    <t>业务范围</t>
  </si>
  <si>
    <t>第一责任</t>
  </si>
  <si>
    <t>复核责任</t>
  </si>
  <si>
    <t>日报时限</t>
  </si>
  <si>
    <t>周报时限</t>
  </si>
  <si>
    <t>月报时限</t>
  </si>
  <si>
    <t>必做校验</t>
  </si>
  <si>
    <t>异常替代/权限</t>
  </si>
  <si>
    <t>公司销售/成本/库存</t>
  </si>
  <si>
    <t>四大经营板块及公司合计</t>
  </si>
  <si>
    <t>各板块数据责任人</t>
  </si>
  <si>
    <t>08:00前完成过账；08:30提交</t>
  </si>
  <si>
    <t>周一09:00前</t>
  </si>
  <si>
    <t>次月3日初稿/5日终稿</t>
  </si>
  <si>
    <t>公司合计=板块合计；退货冲减；成本异常</t>
  </si>
  <si>
    <t>系统异常时使用签字确认导出表</t>
  </si>
  <si>
    <t>APR经营与Apple项目</t>
  </si>
  <si>
    <t>门店、客流、转化、服务项目、合规</t>
  </si>
  <si>
    <t>ERP、MyBusiness、客流系统、门店日报</t>
  </si>
  <si>
    <t>APR负责人/店长</t>
  </si>
  <si>
    <t>APR负责人+总经办</t>
  </si>
  <si>
    <t>08:30前</t>
  </si>
  <si>
    <t>次月3日前</t>
  </si>
  <si>
    <t>门店数完整；客流与订单日期一致</t>
  </si>
  <si>
    <t>未取数门店标缺失，不用估算替代</t>
  </si>
  <si>
    <t>京东羽通、苏宁啟韬</t>
  </si>
  <si>
    <t>京东/苏宁后台、ERP、财务</t>
  </si>
  <si>
    <t>Apple电商负责人</t>
  </si>
  <si>
    <t>GMV/实销/退款/补贴/推广口径一致</t>
  </si>
  <si>
    <t>平台延迟时标暂估并注明时点</t>
  </si>
  <si>
    <t>京东/天猫后台、ERP、财务</t>
  </si>
  <si>
    <t>Shure电商负责人</t>
  </si>
  <si>
    <t>渠道范围、退款、推广和SKU归属一致</t>
  </si>
  <si>
    <t>未正式经营渠道不填0冲淡指标</t>
  </si>
  <si>
    <t>客户、品牌、项目、回款、铺货</t>
  </si>
  <si>
    <t>ERP、客户/项目台账、财务</t>
  </si>
  <si>
    <t>3PP/采销负责人</t>
  </si>
  <si>
    <t>财务+总经办</t>
  </si>
  <si>
    <t>08:30前；事项实时</t>
  </si>
  <si>
    <t>客户归并、应收、回款和库存勾稽</t>
  </si>
  <si>
    <t>项目台账作为临时补充并留来源</t>
  </si>
  <si>
    <t>财务资金</t>
  </si>
  <si>
    <t>损益、费用、现金、应收应付、返利</t>
  </si>
  <si>
    <t>财务系统、银行、对账/返利台账</t>
  </si>
  <si>
    <t>09:00前异常摘要</t>
  </si>
  <si>
    <t>周一09:30前</t>
  </si>
  <si>
    <t>次月5日前最终</t>
  </si>
  <si>
    <t>暂估/确认分开；账实差异；返利条件</t>
  </si>
  <si>
    <t>敏感数据按授权范围呈现</t>
  </si>
  <si>
    <t>营销/活动/内容</t>
  </si>
  <si>
    <t>推广、活动、内容矩阵</t>
  </si>
  <si>
    <t>广告后台、活动/内容台账</t>
  </si>
  <si>
    <t>内容营销/活动负责人</t>
  </si>
  <si>
    <t>电商/业务负责人</t>
  </si>
  <si>
    <t>08:30前异常</t>
  </si>
  <si>
    <t>归因窗口、预算、活动基线和链接完整</t>
  </si>
  <si>
    <t>日报只报异常、爆款和重大活动</t>
  </si>
  <si>
    <t>客户服务与履约</t>
  </si>
  <si>
    <t>客诉、退款、售后、履约</t>
  </si>
  <si>
    <t>客服/售后/物流/平台台账</t>
  </si>
  <si>
    <t>各业务负责人</t>
  </si>
  <si>
    <t>重大事件实时；08:30汇总</t>
  </si>
  <si>
    <t>重大投诉标准、重复问题、闭环证据</t>
  </si>
  <si>
    <t>重大事件先报后补数据</t>
  </si>
  <si>
    <t>编制、在岗、变动、关键岗位、培训</t>
  </si>
  <si>
    <t>人事/考勤/学习台账</t>
  </si>
  <si>
    <t>业务负责人+财务</t>
  </si>
  <si>
    <t>重大异常实时；08:30摘要</t>
  </si>
  <si>
    <t>人效期间/人数口径；普通考勤不进首页</t>
  </si>
  <si>
    <t>系统未接入时人工签字台账</t>
  </si>
  <si>
    <t>事项与风险</t>
  </si>
  <si>
    <t>老板交办、会议事项、经营风险</t>
  </si>
  <si>
    <t>统一事项/风险台账</t>
  </si>
  <si>
    <t>每日18:00前；重大风险实时</t>
  </si>
  <si>
    <t>周五18:00冻结周数据</t>
  </si>
  <si>
    <t>月末最后工作日冻结</t>
  </si>
  <si>
    <t>事项ID唯一；原截止日不覆盖；关闭有证据</t>
  </si>
  <si>
    <t>会议AI提取须人工确认</t>
  </si>
  <si>
    <t>简报汇总发布</t>
  </si>
  <si>
    <t>日报、周报、月报主表</t>
  </si>
  <si>
    <t>以上数据包</t>
  </si>
  <si>
    <t>财务+相关负责人</t>
  </si>
  <si>
    <t>09:00复核；09:30呈报</t>
  </si>
  <si>
    <t>周一10:00呈报</t>
  </si>
  <si>
    <t>次月5日10:00呈报</t>
  </si>
  <si>
    <t>版本、截止时点、缺失、暂估、勾稽检查</t>
  </si>
  <si>
    <t>关键数据不齐时带缺口发布，不延误且不隐瞒</t>
  </si>
  <si>
    <t>重点事项、风险与老板批复闭环模板</t>
  </si>
  <si>
    <t>用于日报/周报/月报共用台账；黄色为人工填写，蓝色为自动判断</t>
  </si>
  <si>
    <t>所有事项使用唯一ID。修改截止日期时保留原截止日；“已完成”必须填写验证结果，老板批复必须关联事项ID。</t>
  </si>
  <si>
    <t>一、重点事项台账</t>
  </si>
  <si>
    <t>事项ID</t>
  </si>
  <si>
    <t>来源</t>
  </si>
  <si>
    <t>业务板块</t>
  </si>
  <si>
    <t>事项名称</t>
  </si>
  <si>
    <t>目标结果</t>
  </si>
  <si>
    <t>责任人</t>
  </si>
  <si>
    <t>协同人</t>
  </si>
  <si>
    <t>开始日期</t>
  </si>
  <si>
    <t>原截止日</t>
  </si>
  <si>
    <t>当前截止日</t>
  </si>
  <si>
    <t>实际进度</t>
  </si>
  <si>
    <t>偏差</t>
  </si>
  <si>
    <t>状态</t>
  </si>
  <si>
    <t>今日/本周进展</t>
  </si>
  <si>
    <t>下一节点</t>
  </si>
  <si>
    <t>需老板介入</t>
  </si>
  <si>
    <t>决策诉求</t>
  </si>
  <si>
    <t>二、风险与老板批复闭环</t>
  </si>
  <si>
    <t>风险ID</t>
  </si>
  <si>
    <t>风险等级</t>
  </si>
  <si>
    <t>风险描述</t>
  </si>
  <si>
    <t>影响金额</t>
  </si>
  <si>
    <t>影响范围</t>
  </si>
  <si>
    <t>发生概率</t>
  </si>
  <si>
    <t>当前措施</t>
  </si>
  <si>
    <t>剩余敞口</t>
  </si>
  <si>
    <t>截止日</t>
  </si>
  <si>
    <t>处置状态</t>
  </si>
  <si>
    <t>建议方案</t>
  </si>
  <si>
    <t>老板批复</t>
  </si>
  <si>
    <t>接收确认</t>
  </si>
  <si>
    <t>结果验证</t>
  </si>
  <si>
    <t>关闭日期</t>
  </si>
  <si>
    <t>三、填写控制</t>
  </si>
  <si>
    <t>控制项</t>
  </si>
  <si>
    <t>要求</t>
  </si>
  <si>
    <t>管理目的</t>
  </si>
  <si>
    <t>责任</t>
  </si>
  <si>
    <t/>
  </si>
  <si>
    <t>控制1</t>
  </si>
  <si>
    <t>事项/风险ID不得重复</t>
  </si>
  <si>
    <t>便于日报、周报、月报追踪同一事项</t>
  </si>
  <si>
    <t>控制2</t>
  </si>
  <si>
    <t>原截止日不得覆盖</t>
  </si>
  <si>
    <t>延期次数和管理承诺可追溯</t>
  </si>
  <si>
    <t>控制3</t>
  </si>
  <si>
    <t>已完成/已关闭必须有验证结果</t>
  </si>
  <si>
    <t>防止以“已沟通”代替完成</t>
  </si>
  <si>
    <t>复核责任人</t>
  </si>
  <si>
    <t>控制4</t>
  </si>
  <si>
    <t>红色风险和老板批复即时更新</t>
  </si>
  <si>
    <t>避免等待日报批次</t>
  </si>
  <si>
    <t>风险责任人/总经办</t>
  </si>
  <si>
    <t>经营管理简报附表与下钻清单</t>
  </si>
  <si>
    <t>主表只保留结论与异常，全量门店、渠道、客户、商品和事项进入附表</t>
  </si>
  <si>
    <t>附表为数据依据，不直接堆到老板首页。正式上线时可按同一字段结构由Excel收集、AI汇总或系统接口生成。</t>
  </si>
  <si>
    <t>编号</t>
  </si>
  <si>
    <t>附表名称</t>
  </si>
  <si>
    <t>主要维度</t>
  </si>
  <si>
    <t>核心字段</t>
  </si>
  <si>
    <t>数据来源</t>
  </si>
  <si>
    <t>管理用途</t>
  </si>
  <si>
    <t>主表入口</t>
  </si>
  <si>
    <t>A01</t>
  </si>
  <si>
    <t>公司经营汇总</t>
  </si>
  <si>
    <t>日/周/月、四大板块</t>
  </si>
  <si>
    <t>实销、目标、毛利、贡献毛利、订单、客流/UV、库存、应收</t>
  </si>
  <si>
    <t>财务/ERP</t>
  </si>
  <si>
    <t>公司总盘勾稽</t>
  </si>
  <si>
    <t>经营总览</t>
  </si>
  <si>
    <t>核心</t>
  </si>
  <si>
    <t>A02</t>
  </si>
  <si>
    <t>APR门店经营明细</t>
  </si>
  <si>
    <t>日期、门店、渠道</t>
  </si>
  <si>
    <t>销售、目标、毛利、客流、转化、客单、配件/服务、库存、合规</t>
  </si>
  <si>
    <t>ERP/MyBusiness/客流</t>
  </si>
  <si>
    <t>门店诊断</t>
  </si>
  <si>
    <t>APR板块</t>
  </si>
  <si>
    <t>全门店</t>
  </si>
  <si>
    <t>A03</t>
  </si>
  <si>
    <t>APR员工及服务项目</t>
  </si>
  <si>
    <t>员工、门店、日期</t>
  </si>
  <si>
    <t>销售、毛利、主机/配件、ACS、Trade In、Setup、分期、培训认证</t>
  </si>
  <si>
    <t>门店/Apple系统</t>
  </si>
  <si>
    <t>人效与能力</t>
  </si>
  <si>
    <t>APR明细</t>
  </si>
  <si>
    <t>不进日报首页</t>
  </si>
  <si>
    <t>A04</t>
  </si>
  <si>
    <t>Apple电商渠道明细</t>
  </si>
  <si>
    <t>京东羽通、苏宁啟韬、商品/活动</t>
  </si>
  <si>
    <t>GMV、实销、退款、毛利、费用、ROAS、流量、转化、履约、库存、激活</t>
  </si>
  <si>
    <t>平台/ERP/财务</t>
  </si>
  <si>
    <t>渠道经营分析</t>
  </si>
  <si>
    <t>不含天猫</t>
  </si>
  <si>
    <t>A05</t>
  </si>
  <si>
    <t>Shure电商渠道明细</t>
  </si>
  <si>
    <t>京东官旗、天猫官旗、商品/活动</t>
  </si>
  <si>
    <t>实销、订单、毛利、推广、ROAS、流量、转化、客服、售后、库存</t>
  </si>
  <si>
    <t>渠道与SKU分析</t>
  </si>
  <si>
    <t>按当前渠道</t>
  </si>
  <si>
    <t>A06</t>
  </si>
  <si>
    <t>3PP客户/项目/产品</t>
  </si>
  <si>
    <t>客户、品牌、项目、区域、门店</t>
  </si>
  <si>
    <t>销售、毛利、合同、回款、应收、铺货、动销、库存、里程碑</t>
  </si>
  <si>
    <t>ERP/项目/财务</t>
  </si>
  <si>
    <t>信用与项目管理</t>
  </si>
  <si>
    <t>3PP板块</t>
  </si>
  <si>
    <t>重点项目</t>
  </si>
  <si>
    <t>A07</t>
  </si>
  <si>
    <t>库存SKU明细</t>
  </si>
  <si>
    <t>仓库、板块、渠道、SKU、库龄</t>
  </si>
  <si>
    <t>库存、在途、销量、周转、存销比、缺货、90天+/180天+、处理方案</t>
  </si>
  <si>
    <t>补货/调拨/清库</t>
  </si>
  <si>
    <t>库存总览</t>
  </si>
  <si>
    <t>风险SKU</t>
  </si>
  <si>
    <t>A08</t>
  </si>
  <si>
    <t>财务资金与返利</t>
  </si>
  <si>
    <t>板块、客户/平台、账龄、品牌</t>
  </si>
  <si>
    <t>收入、毛利、费用、现金、应收应付、逾期、返利预计/确认/到账</t>
  </si>
  <si>
    <t>财务系统/台账</t>
  </si>
  <si>
    <t>利润与现金质量</t>
  </si>
  <si>
    <t>财务摘要</t>
  </si>
  <si>
    <t>权限控制</t>
  </si>
  <si>
    <t>A09</t>
  </si>
  <si>
    <t>营销活动与内容</t>
  </si>
  <si>
    <t>平台、活动、内容、门店</t>
  </si>
  <si>
    <t>预算、投入、归因销售、增量毛利、ROAS、发布、触达、互动、链接</t>
  </si>
  <si>
    <t>平台/活动台账</t>
  </si>
  <si>
    <t>投入产出复盘</t>
  </si>
  <si>
    <t>日报仅异常</t>
  </si>
  <si>
    <t>A10</t>
  </si>
  <si>
    <t>板块、门店/渠道、问题类型</t>
  </si>
  <si>
    <t>退款退货、投诉、差评、履约、售后、重复问题、闭环时长</t>
  </si>
  <si>
    <t>体验整改</t>
  </si>
  <si>
    <t>风险/服务</t>
  </si>
  <si>
    <t>重大事件置顶</t>
  </si>
  <si>
    <t>A11</t>
  </si>
  <si>
    <t>部门、门店、岗位、人员</t>
  </si>
  <si>
    <t>编制、在岗、变动、缺编、人效、人均毛利、人工成本、培训认证</t>
  </si>
  <si>
    <t>普通考勤不进首页</t>
  </si>
  <si>
    <t>A12</t>
  </si>
  <si>
    <t>重点事项与风险</t>
  </si>
  <si>
    <t>事项ID、板块、责任人、风险类型</t>
  </si>
  <si>
    <t>进度、时间进度、偏差、影响、措施、节点、决策、批复、验证</t>
  </si>
  <si>
    <t>统一台账</t>
  </si>
  <si>
    <t>闭环管理</t>
  </si>
  <si>
    <t>事项风控</t>
  </si>
  <si>
    <t>老板批复关联</t>
  </si>
  <si>
    <t>A13</t>
  </si>
  <si>
    <t>数据质量与口径</t>
  </si>
  <si>
    <t>数据包、系统、责任部门</t>
  </si>
  <si>
    <t>更新时间、状态、缺失、差异、口径版本、修复时限</t>
  </si>
  <si>
    <t>报送记录/接口日志</t>
  </si>
  <si>
    <t>可信度控制</t>
  </si>
  <si>
    <t>简报底部</t>
  </si>
  <si>
    <t>固定展示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</si>
</sst>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;[Red]\(#,##0\);\-"/>
  </numFmts>
  <fonts count="32">
    <font>
      <sz val="11"/>
      <name val="Carlito"/>
      <charset val="134"/>
    </font>
    <font>
      <b/>
      <sz val="18"/>
      <color rgb="FFFFFFFF"/>
      <name val="Microsoft YaHei"/>
      <charset val="134"/>
    </font>
    <font>
      <sz val="9"/>
      <color rgb="FF5E6C7A"/>
      <name val="Microsoft YaHei"/>
      <charset val="134"/>
    </font>
    <font>
      <b/>
      <sz val="9"/>
      <color rgb="FF24724D"/>
      <name val="Microsoft YaHei"/>
      <charset val="134"/>
    </font>
    <font>
      <b/>
      <sz val="9"/>
      <color rgb="FFFFFFFF"/>
      <name val="Microsoft YaHei"/>
      <charset val="134"/>
    </font>
    <font>
      <b/>
      <sz val="9"/>
      <color rgb="FF2B69B7"/>
      <name val="Microsoft YaHei"/>
      <charset val="134"/>
    </font>
    <font>
      <sz val="9"/>
      <color rgb="FF172A3A"/>
      <name val="Microsoft YaHei"/>
      <charset val="134"/>
    </font>
    <font>
      <b/>
      <sz val="11"/>
      <color rgb="FFFFFFFF"/>
      <name val="Microsoft YaHei"/>
      <charset val="134"/>
    </font>
    <font>
      <b/>
      <sz val="9"/>
      <color rgb="FFA76200"/>
      <name val="Microsoft YaHei"/>
      <charset val="134"/>
    </font>
    <font>
      <b/>
      <sz val="9"/>
      <color rgb="FF147D76"/>
      <name val="Microsoft YaHei"/>
      <charset val="134"/>
    </font>
    <font>
      <b/>
      <sz val="9"/>
      <color rgb="FFB83232"/>
      <name val="Microsoft YaHei"/>
      <charset val="134"/>
    </font>
    <font>
      <b/>
      <sz val="9"/>
      <color rgb="FF092A49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92A49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E9F5EE"/>
        <bgColor indexed="64"/>
      </patternFill>
    </fill>
    <fill>
      <patternFill patternType="solid">
        <fgColor rgb="FF1238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47D76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B83232"/>
        <bgColor indexed="64"/>
      </patternFill>
    </fill>
    <fill>
      <patternFill patternType="solid">
        <fgColor rgb="FFFFF3DC"/>
        <bgColor indexed="64"/>
      </patternFill>
    </fill>
    <fill>
      <patternFill patternType="solid">
        <fgColor rgb="FFE7F5F1"/>
        <bgColor indexed="64"/>
      </patternFill>
    </fill>
    <fill>
      <patternFill patternType="solid">
        <fgColor rgb="FFFCEAEA"/>
        <bgColor indexed="64"/>
      </patternFill>
    </fill>
    <fill>
      <patternFill patternType="solid">
        <fgColor rgb="FFF0EEFA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CCD8E4"/>
      </left>
      <right/>
      <top style="thin">
        <color rgb="FFCCD8E4"/>
      </top>
      <bottom style="thin">
        <color rgb="FFCCD8E4"/>
      </bottom>
      <diagonal/>
    </border>
    <border>
      <left/>
      <right/>
      <top style="thin">
        <color rgb="FFCCD8E4"/>
      </top>
      <bottom style="thin">
        <color rgb="FFCCD8E4"/>
      </bottom>
      <diagonal/>
    </border>
    <border>
      <left/>
      <right style="thin">
        <color rgb="FFCCD8E4"/>
      </right>
      <top style="thin">
        <color rgb="FFCCD8E4"/>
      </top>
      <bottom style="thin">
        <color rgb="FFCCD8E4"/>
      </bottom>
      <diagonal/>
    </border>
    <border>
      <left style="thin">
        <color rgb="FFCCD8E4"/>
      </left>
      <right style="thin">
        <color rgb="FFCCD8E4"/>
      </right>
      <top style="thin">
        <color rgb="FFCCD8E4"/>
      </top>
      <bottom style="thin">
        <color rgb="FFCCD8E4"/>
      </bottom>
      <diagonal/>
    </border>
    <border>
      <left style="thin">
        <color rgb="FFE5EBF1"/>
      </left>
      <right style="thin">
        <color rgb="FFE5EBF1"/>
      </right>
      <top style="thin">
        <color rgb="FFE5EBF1"/>
      </top>
      <bottom style="thin">
        <color rgb="FFE5EBF1"/>
      </bottom>
      <diagonal/>
    </border>
    <border>
      <left style="thin">
        <color rgb="FF147D76"/>
      </left>
      <right/>
      <top style="thin">
        <color rgb="FF147D76"/>
      </top>
      <bottom style="thin">
        <color rgb="FF147D76"/>
      </bottom>
      <diagonal/>
    </border>
    <border>
      <left/>
      <right/>
      <top style="thin">
        <color rgb="FF147D76"/>
      </top>
      <bottom style="thin">
        <color rgb="FF147D76"/>
      </bottom>
      <diagonal/>
    </border>
    <border>
      <left/>
      <right style="thin">
        <color rgb="FF147D76"/>
      </right>
      <top style="thin">
        <color rgb="FF147D76"/>
      </top>
      <bottom style="thin">
        <color rgb="FF147D76"/>
      </bottom>
      <diagonal/>
    </border>
    <border>
      <left style="thin">
        <color rgb="FFB83232"/>
      </left>
      <right/>
      <top style="thin">
        <color rgb="FFB83232"/>
      </top>
      <bottom style="thin">
        <color rgb="FFB83232"/>
      </bottom>
      <diagonal/>
    </border>
    <border>
      <left/>
      <right/>
      <top style="thin">
        <color rgb="FFB83232"/>
      </top>
      <bottom style="thin">
        <color rgb="FFB83232"/>
      </bottom>
      <diagonal/>
    </border>
    <border>
      <left/>
      <right style="thin">
        <color rgb="FFB83232"/>
      </right>
      <top style="thin">
        <color rgb="FFB83232"/>
      </top>
      <bottom style="thin">
        <color rgb="FFB83232"/>
      </bottom>
      <diagonal/>
    </border>
    <border>
      <left style="thin">
        <color rgb="FF12385F"/>
      </left>
      <right/>
      <top style="thin">
        <color rgb="FF12385F"/>
      </top>
      <bottom style="thin">
        <color rgb="FF12385F"/>
      </bottom>
      <diagonal/>
    </border>
    <border>
      <left/>
      <right/>
      <top style="thin">
        <color rgb="FF12385F"/>
      </top>
      <bottom style="thin">
        <color rgb="FF12385F"/>
      </bottom>
      <diagonal/>
    </border>
    <border>
      <left/>
      <right style="thin">
        <color rgb="FF12385F"/>
      </right>
      <top style="thin">
        <color rgb="FF12385F"/>
      </top>
      <bottom style="thin">
        <color rgb="FF12385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7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18" applyNumberFormat="0" applyAlignment="0" applyProtection="0">
      <alignment vertical="center"/>
    </xf>
    <xf numFmtId="0" fontId="22" fillId="19" borderId="19" applyNumberFormat="0" applyAlignment="0" applyProtection="0">
      <alignment vertical="center"/>
    </xf>
    <xf numFmtId="0" fontId="23" fillId="19" borderId="18" applyNumberFormat="0" applyAlignment="0" applyProtection="0">
      <alignment vertical="center"/>
    </xf>
    <xf numFmtId="0" fontId="24" fillId="20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1" xfId="49" applyNumberFormat="1" applyFont="1" applyFill="1" applyBorder="1" applyAlignment="1">
      <alignment horizontal="left" vertical="center" wrapText="1"/>
    </xf>
    <xf numFmtId="0" fontId="3" fillId="4" borderId="2" xfId="49" applyNumberFormat="1" applyFont="1" applyFill="1" applyBorder="1" applyAlignment="1">
      <alignment horizontal="left" vertical="center" wrapText="1"/>
    </xf>
    <xf numFmtId="0" fontId="3" fillId="4" borderId="3" xfId="49" applyNumberFormat="1" applyFont="1" applyFill="1" applyBorder="1" applyAlignment="1">
      <alignment horizontal="left" vertical="center" wrapText="1"/>
    </xf>
    <xf numFmtId="0" fontId="4" fillId="5" borderId="4" xfId="49" applyNumberFormat="1" applyFont="1" applyFill="1" applyBorder="1" applyAlignment="1">
      <alignment horizontal="center" vertical="center" wrapText="1"/>
    </xf>
    <xf numFmtId="0" fontId="5" fillId="3" borderId="5" xfId="49" applyNumberFormat="1" applyFont="1" applyFill="1" applyBorder="1" applyAlignment="1">
      <alignment horizontal="center" vertical="center" wrapText="1"/>
    </xf>
    <xf numFmtId="0" fontId="6" fillId="6" borderId="5" xfId="49" applyNumberFormat="1" applyFont="1" applyFill="1" applyBorder="1" applyAlignment="1">
      <alignment vertical="center" wrapText="1"/>
    </xf>
    <xf numFmtId="0" fontId="6" fillId="6" borderId="5" xfId="49" applyNumberFormat="1" applyFont="1" applyFill="1" applyBorder="1" applyAlignment="1">
      <alignment horizontal="center" vertical="center" wrapText="1"/>
    </xf>
    <xf numFmtId="0" fontId="6" fillId="6" borderId="0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horizontal="left" vertical="center" wrapText="1"/>
    </xf>
    <xf numFmtId="0" fontId="5" fillId="3" borderId="2" xfId="49" applyNumberFormat="1" applyFont="1" applyFill="1" applyBorder="1" applyAlignment="1">
      <alignment horizontal="left" vertical="center" wrapText="1"/>
    </xf>
    <xf numFmtId="0" fontId="5" fillId="3" borderId="3" xfId="49" applyNumberFormat="1" applyFont="1" applyFill="1" applyBorder="1" applyAlignment="1">
      <alignment horizontal="left" vertical="center" wrapText="1"/>
    </xf>
    <xf numFmtId="0" fontId="7" fillId="7" borderId="6" xfId="49" applyNumberFormat="1" applyFont="1" applyFill="1" applyBorder="1" applyAlignment="1">
      <alignment horizontal="left" vertical="center"/>
    </xf>
    <xf numFmtId="0" fontId="7" fillId="7" borderId="7" xfId="49" applyNumberFormat="1" applyFont="1" applyFill="1" applyBorder="1" applyAlignment="1">
      <alignment horizontal="left" vertical="center"/>
    </xf>
    <xf numFmtId="0" fontId="7" fillId="7" borderId="8" xfId="49" applyNumberFormat="1" applyFont="1" applyFill="1" applyBorder="1" applyAlignment="1">
      <alignment horizontal="left" vertical="center"/>
    </xf>
    <xf numFmtId="0" fontId="6" fillId="8" borderId="5" xfId="49" applyNumberFormat="1" applyFont="1" applyFill="1" applyBorder="1" applyAlignment="1">
      <alignment vertical="center" wrapText="1"/>
    </xf>
    <xf numFmtId="176" fontId="6" fillId="8" borderId="5" xfId="49" applyNumberFormat="1" applyFont="1" applyFill="1" applyBorder="1" applyAlignment="1">
      <alignment vertical="center" wrapText="1"/>
    </xf>
    <xf numFmtId="9" fontId="6" fillId="8" borderId="5" xfId="49" applyNumberFormat="1" applyFont="1" applyFill="1" applyBorder="1" applyAlignment="1">
      <alignment vertical="center" wrapText="1"/>
    </xf>
    <xf numFmtId="9" fontId="6" fillId="9" borderId="5" xfId="49" applyNumberFormat="1" applyFont="1" applyFill="1" applyBorder="1" applyAlignment="1">
      <alignment vertical="center" wrapText="1"/>
    </xf>
    <xf numFmtId="0" fontId="6" fillId="9" borderId="5" xfId="49" applyNumberFormat="1" applyFont="1" applyFill="1" applyBorder="1" applyAlignment="1">
      <alignment vertical="center" wrapText="1"/>
    </xf>
    <xf numFmtId="0" fontId="7" fillId="10" borderId="9" xfId="49" applyNumberFormat="1" applyFont="1" applyFill="1" applyBorder="1" applyAlignment="1">
      <alignment horizontal="left" vertical="center"/>
    </xf>
    <xf numFmtId="0" fontId="7" fillId="10" borderId="10" xfId="49" applyNumberFormat="1" applyFont="1" applyFill="1" applyBorder="1" applyAlignment="1">
      <alignment horizontal="left" vertical="center"/>
    </xf>
    <xf numFmtId="0" fontId="7" fillId="10" borderId="11" xfId="49" applyNumberFormat="1" applyFont="1" applyFill="1" applyBorder="1" applyAlignment="1">
      <alignment horizontal="left" vertical="center"/>
    </xf>
    <xf numFmtId="177" fontId="6" fillId="8" borderId="5" xfId="49" applyNumberFormat="1" applyFont="1" applyFill="1" applyBorder="1" applyAlignment="1">
      <alignment vertical="center" wrapText="1"/>
    </xf>
    <xf numFmtId="0" fontId="7" fillId="5" borderId="12" xfId="49" applyNumberFormat="1" applyFont="1" applyFill="1" applyBorder="1" applyAlignment="1">
      <alignment horizontal="left" vertical="center"/>
    </xf>
    <xf numFmtId="0" fontId="7" fillId="5" borderId="13" xfId="49" applyNumberFormat="1" applyFont="1" applyFill="1" applyBorder="1" applyAlignment="1">
      <alignment horizontal="left" vertical="center"/>
    </xf>
    <xf numFmtId="0" fontId="7" fillId="5" borderId="14" xfId="49" applyNumberFormat="1" applyFont="1" applyFill="1" applyBorder="1" applyAlignment="1">
      <alignment horizontal="left" vertical="center"/>
    </xf>
    <xf numFmtId="0" fontId="8" fillId="11" borderId="1" xfId="49" applyNumberFormat="1" applyFont="1" applyFill="1" applyBorder="1" applyAlignment="1">
      <alignment horizontal="left" vertical="center" wrapText="1"/>
    </xf>
    <xf numFmtId="0" fontId="8" fillId="11" borderId="2" xfId="49" applyNumberFormat="1" applyFont="1" applyFill="1" applyBorder="1" applyAlignment="1">
      <alignment horizontal="left" vertical="center" wrapText="1"/>
    </xf>
    <xf numFmtId="0" fontId="8" fillId="11" borderId="3" xfId="49" applyNumberFormat="1" applyFont="1" applyFill="1" applyBorder="1" applyAlignment="1">
      <alignment horizontal="left" vertical="center" wrapText="1"/>
    </xf>
    <xf numFmtId="0" fontId="9" fillId="12" borderId="5" xfId="49" applyNumberFormat="1" applyFont="1" applyFill="1" applyBorder="1" applyAlignment="1">
      <alignment horizontal="center" vertical="center" wrapText="1"/>
    </xf>
    <xf numFmtId="0" fontId="10" fillId="13" borderId="1" xfId="49" applyNumberFormat="1" applyFont="1" applyFill="1" applyBorder="1" applyAlignment="1">
      <alignment horizontal="left" vertical="center" wrapText="1"/>
    </xf>
    <xf numFmtId="0" fontId="10" fillId="13" borderId="2" xfId="49" applyNumberFormat="1" applyFont="1" applyFill="1" applyBorder="1" applyAlignment="1">
      <alignment horizontal="left" vertical="center" wrapText="1"/>
    </xf>
    <xf numFmtId="0" fontId="10" fillId="13" borderId="3" xfId="49" applyNumberFormat="1" applyFont="1" applyFill="1" applyBorder="1" applyAlignment="1">
      <alignment horizontal="left" vertical="center" wrapText="1"/>
    </xf>
    <xf numFmtId="0" fontId="6" fillId="11" borderId="5" xfId="49" applyNumberFormat="1" applyFont="1" applyFill="1" applyBorder="1" applyAlignment="1">
      <alignment vertical="center" wrapText="1"/>
    </xf>
    <xf numFmtId="0" fontId="6" fillId="13" borderId="5" xfId="49" applyNumberFormat="1" applyFont="1" applyFill="1" applyBorder="1" applyAlignment="1">
      <alignment vertical="center" wrapText="1"/>
    </xf>
    <xf numFmtId="0" fontId="6" fillId="3" borderId="5" xfId="49" applyNumberFormat="1" applyFont="1" applyFill="1" applyBorder="1" applyAlignment="1">
      <alignment vertical="center" wrapText="1"/>
    </xf>
    <xf numFmtId="0" fontId="11" fillId="3" borderId="5" xfId="49" applyNumberFormat="1" applyFont="1" applyFill="1" applyBorder="1" applyAlignment="1">
      <alignment vertical="center" wrapText="1"/>
    </xf>
    <xf numFmtId="0" fontId="6" fillId="12" borderId="5" xfId="49" applyNumberFormat="1" applyFont="1" applyFill="1" applyBorder="1" applyAlignment="1">
      <alignment vertical="center" wrapText="1"/>
    </xf>
    <xf numFmtId="0" fontId="11" fillId="12" borderId="5" xfId="49" applyNumberFormat="1" applyFont="1" applyFill="1" applyBorder="1" applyAlignment="1">
      <alignment vertical="center" wrapText="1"/>
    </xf>
    <xf numFmtId="0" fontId="6" fillId="14" borderId="5" xfId="49" applyNumberFormat="1" applyFont="1" applyFill="1" applyBorder="1" applyAlignment="1">
      <alignment vertical="center" wrapText="1"/>
    </xf>
    <xf numFmtId="0" fontId="11" fillId="14" borderId="5" xfId="49" applyNumberFormat="1" applyFont="1" applyFill="1" applyBorder="1" applyAlignment="1">
      <alignment vertical="center" wrapText="1"/>
    </xf>
    <xf numFmtId="0" fontId="11" fillId="11" borderId="5" xfId="49" applyNumberFormat="1" applyFont="1" applyFill="1" applyBorder="1" applyAlignment="1">
      <alignment vertical="center" wrapText="1"/>
    </xf>
    <xf numFmtId="0" fontId="6" fillId="4" borderId="5" xfId="49" applyNumberFormat="1" applyFont="1" applyFill="1" applyBorder="1" applyAlignment="1">
      <alignment vertical="center" wrapText="1"/>
    </xf>
    <xf numFmtId="0" fontId="11" fillId="4" borderId="5" xfId="49" applyNumberFormat="1" applyFont="1" applyFill="1" applyBorder="1" applyAlignment="1">
      <alignment vertical="center" wrapText="1"/>
    </xf>
    <xf numFmtId="0" fontId="6" fillId="15" borderId="5" xfId="49" applyNumberFormat="1" applyFont="1" applyFill="1" applyBorder="1" applyAlignment="1">
      <alignment vertical="center" wrapText="1"/>
    </xf>
    <xf numFmtId="0" fontId="11" fillId="15" borderId="5" xfId="49" applyNumberFormat="1" applyFont="1" applyFill="1" applyBorder="1" applyAlignment="1">
      <alignment vertical="center" wrapText="1"/>
    </xf>
    <xf numFmtId="0" fontId="11" fillId="13" borderId="5" xfId="49" applyNumberFormat="1" applyFont="1" applyFill="1" applyBorder="1" applyAlignment="1">
      <alignment vertical="center" wrapText="1"/>
    </xf>
    <xf numFmtId="0" fontId="4" fillId="5" borderId="5" xfId="49" applyNumberFormat="1" applyFont="1" applyFill="1" applyBorder="1" applyAlignment="1">
      <alignment horizontal="center" vertical="center" wrapText="1"/>
    </xf>
    <xf numFmtId="0" fontId="6" fillId="16" borderId="5" xfId="49" applyNumberFormat="1" applyFont="1" applyFill="1" applyBorder="1" applyAlignment="1">
      <alignment vertical="center" wrapText="1"/>
    </xf>
    <xf numFmtId="0" fontId="6" fillId="16" borderId="5" xfId="49" applyNumberFormat="1" applyFont="1" applyFill="1" applyBorder="1" applyAlignment="1">
      <alignment horizontal="center" vertical="center" wrapText="1"/>
    </xf>
    <xf numFmtId="0" fontId="10" fillId="13" borderId="5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B83232"/>
      </font>
      <fill>
        <patternFill patternType="solid">
          <bgColor rgb="FFFCEAEA"/>
        </patternFill>
      </fill>
    </dxf>
    <dxf>
      <font>
        <b val="1"/>
        <color rgb="FFA76200"/>
      </font>
      <fill>
        <patternFill patternType="solid">
          <bgColor rgb="FFFFF3DC"/>
        </patternFill>
      </fill>
    </dxf>
    <dxf>
      <font>
        <b val="1"/>
        <color rgb="FF2B69B7"/>
      </font>
      <fill>
        <patternFill patternType="solid">
          <bgColor rgb="FFEAF2FB"/>
        </patternFill>
      </fill>
    </dxf>
    <dxf>
      <font>
        <b val="1"/>
        <color rgb="FF24724D"/>
      </font>
      <fill>
        <patternFill patternType="solid">
          <bgColor rgb="FFE9F5E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abSelected="1" workbookViewId="0">
      <selection activeCell="I4" sqref="I$1:I$1048576"/>
    </sheetView>
  </sheetViews>
  <sheetFormatPr defaultColWidth="9" defaultRowHeight="14.25" outlineLevelCol="7"/>
  <cols>
    <col min="1" max="1" width="8" customWidth="1"/>
    <col min="2" max="2" width="18" customWidth="1"/>
    <col min="3" max="3" width="20" customWidth="1"/>
    <col min="4" max="4" width="44" customWidth="1"/>
    <col min="5" max="5" width="34" customWidth="1"/>
    <col min="6" max="6" width="31" customWidth="1"/>
    <col min="7" max="8" width="18" customWidth="1"/>
  </cols>
  <sheetData>
    <row r="1" ht="30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24" customHeight="1" spans="1:8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28" customHeight="1" spans="1:8">
      <c r="A3" s="11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58" customHeight="1" spans="1:8">
      <c r="A5" s="50" t="s">
        <v>11</v>
      </c>
      <c r="B5" s="50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 t="s">
        <v>17</v>
      </c>
      <c r="H5" s="9" t="s">
        <v>18</v>
      </c>
    </row>
    <row r="6" ht="58" customHeight="1" spans="1:8">
      <c r="A6" s="50" t="s">
        <v>19</v>
      </c>
      <c r="B6" s="50" t="s">
        <v>12</v>
      </c>
      <c r="C6" s="51" t="s">
        <v>20</v>
      </c>
      <c r="D6" s="51" t="s">
        <v>21</v>
      </c>
      <c r="E6" s="51" t="s">
        <v>22</v>
      </c>
      <c r="F6" s="51" t="s">
        <v>23</v>
      </c>
      <c r="G6" s="52" t="s">
        <v>24</v>
      </c>
      <c r="H6" s="52" t="s">
        <v>25</v>
      </c>
    </row>
    <row r="7" ht="58" customHeight="1" spans="1:8">
      <c r="A7" s="50" t="s">
        <v>26</v>
      </c>
      <c r="B7" s="50" t="s">
        <v>12</v>
      </c>
      <c r="C7" s="8" t="s">
        <v>27</v>
      </c>
      <c r="D7" s="8" t="s">
        <v>28</v>
      </c>
      <c r="E7" s="8" t="s">
        <v>29</v>
      </c>
      <c r="F7" s="8" t="s">
        <v>30</v>
      </c>
      <c r="G7" s="9" t="s">
        <v>17</v>
      </c>
      <c r="H7" s="9" t="s">
        <v>31</v>
      </c>
    </row>
    <row r="8" ht="58" customHeight="1" spans="1:8">
      <c r="A8" s="7" t="s">
        <v>32</v>
      </c>
      <c r="B8" s="7" t="s">
        <v>33</v>
      </c>
      <c r="C8" s="51" t="s">
        <v>34</v>
      </c>
      <c r="D8" s="51" t="s">
        <v>35</v>
      </c>
      <c r="E8" s="51" t="s">
        <v>36</v>
      </c>
      <c r="F8" s="51" t="s">
        <v>37</v>
      </c>
      <c r="G8" s="52" t="s">
        <v>38</v>
      </c>
      <c r="H8" s="52" t="s">
        <v>39</v>
      </c>
    </row>
    <row r="9" ht="58" customHeight="1" spans="1:8">
      <c r="A9" s="7" t="s">
        <v>40</v>
      </c>
      <c r="B9" s="7" t="s">
        <v>33</v>
      </c>
      <c r="C9" s="8" t="s">
        <v>41</v>
      </c>
      <c r="D9" s="8" t="s">
        <v>42</v>
      </c>
      <c r="E9" s="8" t="s">
        <v>43</v>
      </c>
      <c r="F9" s="8" t="s">
        <v>44</v>
      </c>
      <c r="G9" s="9" t="s">
        <v>45</v>
      </c>
      <c r="H9" s="9" t="s">
        <v>46</v>
      </c>
    </row>
    <row r="10" ht="58" customHeight="1" spans="1:8">
      <c r="A10" s="7" t="s">
        <v>47</v>
      </c>
      <c r="B10" s="7" t="s">
        <v>33</v>
      </c>
      <c r="C10" s="51" t="s">
        <v>48</v>
      </c>
      <c r="D10" s="51" t="s">
        <v>49</v>
      </c>
      <c r="E10" s="51" t="s">
        <v>50</v>
      </c>
      <c r="F10" s="51" t="s">
        <v>51</v>
      </c>
      <c r="G10" s="52" t="s">
        <v>52</v>
      </c>
      <c r="H10" s="52" t="s">
        <v>46</v>
      </c>
    </row>
    <row r="11" ht="58" customHeight="1" spans="1:8">
      <c r="A11" s="7" t="s">
        <v>53</v>
      </c>
      <c r="B11" s="7" t="s">
        <v>33</v>
      </c>
      <c r="C11" s="8" t="s">
        <v>54</v>
      </c>
      <c r="D11" s="8" t="s">
        <v>55</v>
      </c>
      <c r="E11" s="8" t="s">
        <v>56</v>
      </c>
      <c r="F11" s="8" t="s">
        <v>57</v>
      </c>
      <c r="G11" s="9" t="s">
        <v>58</v>
      </c>
      <c r="H11" s="9" t="s">
        <v>46</v>
      </c>
    </row>
    <row r="12" ht="58" customHeight="1" spans="1:8">
      <c r="A12" s="7" t="s">
        <v>59</v>
      </c>
      <c r="B12" s="7" t="s">
        <v>33</v>
      </c>
      <c r="C12" s="51" t="s">
        <v>60</v>
      </c>
      <c r="D12" s="51" t="s">
        <v>61</v>
      </c>
      <c r="E12" s="51" t="s">
        <v>62</v>
      </c>
      <c r="F12" s="51" t="s">
        <v>63</v>
      </c>
      <c r="G12" s="52" t="s">
        <v>58</v>
      </c>
      <c r="H12" s="52" t="s">
        <v>46</v>
      </c>
    </row>
    <row r="13" ht="58" customHeight="1" spans="1:8">
      <c r="A13" s="7" t="s">
        <v>64</v>
      </c>
      <c r="B13" s="7" t="s">
        <v>33</v>
      </c>
      <c r="C13" s="8" t="s">
        <v>65</v>
      </c>
      <c r="D13" s="8" t="s">
        <v>66</v>
      </c>
      <c r="E13" s="8" t="s">
        <v>67</v>
      </c>
      <c r="F13" s="8" t="s">
        <v>68</v>
      </c>
      <c r="G13" s="9" t="s">
        <v>69</v>
      </c>
      <c r="H13" s="9" t="s">
        <v>70</v>
      </c>
    </row>
    <row r="14" ht="58" customHeight="1" spans="1:8">
      <c r="A14" s="7" t="s">
        <v>71</v>
      </c>
      <c r="B14" s="7" t="s">
        <v>33</v>
      </c>
      <c r="C14" s="51" t="s">
        <v>72</v>
      </c>
      <c r="D14" s="51" t="s">
        <v>73</v>
      </c>
      <c r="E14" s="51" t="s">
        <v>74</v>
      </c>
      <c r="F14" s="51" t="s">
        <v>75</v>
      </c>
      <c r="G14" s="52" t="s">
        <v>76</v>
      </c>
      <c r="H14" s="52" t="s">
        <v>46</v>
      </c>
    </row>
    <row r="15" ht="58" customHeight="1" spans="1:8">
      <c r="A15" s="7" t="s">
        <v>77</v>
      </c>
      <c r="B15" s="7" t="s">
        <v>33</v>
      </c>
      <c r="C15" s="8" t="s">
        <v>78</v>
      </c>
      <c r="D15" s="8" t="s">
        <v>79</v>
      </c>
      <c r="E15" s="8" t="s">
        <v>80</v>
      </c>
      <c r="F15" s="8" t="s">
        <v>81</v>
      </c>
      <c r="G15" s="9" t="s">
        <v>82</v>
      </c>
      <c r="H15" s="9" t="s">
        <v>46</v>
      </c>
    </row>
    <row r="16" ht="58" customHeight="1" spans="1:8">
      <c r="A16" s="32" t="s">
        <v>83</v>
      </c>
      <c r="B16" s="32" t="s">
        <v>84</v>
      </c>
      <c r="C16" s="51" t="s">
        <v>85</v>
      </c>
      <c r="D16" s="51" t="s">
        <v>86</v>
      </c>
      <c r="E16" s="51" t="s">
        <v>87</v>
      </c>
      <c r="F16" s="51" t="s">
        <v>88</v>
      </c>
      <c r="G16" s="52" t="s">
        <v>38</v>
      </c>
      <c r="H16" s="52" t="s">
        <v>89</v>
      </c>
    </row>
    <row r="17" ht="58" customHeight="1" spans="1:8">
      <c r="A17" s="32" t="s">
        <v>90</v>
      </c>
      <c r="B17" s="32" t="s">
        <v>84</v>
      </c>
      <c r="C17" s="8" t="s">
        <v>91</v>
      </c>
      <c r="D17" s="8" t="s">
        <v>92</v>
      </c>
      <c r="E17" s="8" t="s">
        <v>93</v>
      </c>
      <c r="F17" s="8" t="s">
        <v>94</v>
      </c>
      <c r="G17" s="9" t="s">
        <v>95</v>
      </c>
      <c r="H17" s="9" t="s">
        <v>96</v>
      </c>
    </row>
    <row r="18" ht="58" customHeight="1" spans="1:8">
      <c r="A18" s="32" t="s">
        <v>97</v>
      </c>
      <c r="B18" s="32" t="s">
        <v>84</v>
      </c>
      <c r="C18" s="51" t="s">
        <v>98</v>
      </c>
      <c r="D18" s="51" t="s">
        <v>99</v>
      </c>
      <c r="E18" s="51" t="s">
        <v>100</v>
      </c>
      <c r="F18" s="51" t="s">
        <v>101</v>
      </c>
      <c r="G18" s="52" t="s">
        <v>95</v>
      </c>
      <c r="H18" s="52" t="s">
        <v>102</v>
      </c>
    </row>
    <row r="19" ht="58" customHeight="1" spans="1:8">
      <c r="A19" s="32" t="s">
        <v>103</v>
      </c>
      <c r="B19" s="32" t="s">
        <v>84</v>
      </c>
      <c r="C19" s="8" t="s">
        <v>104</v>
      </c>
      <c r="D19" s="8" t="s">
        <v>105</v>
      </c>
      <c r="E19" s="8" t="s">
        <v>106</v>
      </c>
      <c r="F19" s="8" t="s">
        <v>107</v>
      </c>
      <c r="G19" s="9" t="s">
        <v>108</v>
      </c>
      <c r="H19" s="9" t="s">
        <v>109</v>
      </c>
    </row>
    <row r="20" ht="58" customHeight="1" spans="1:8">
      <c r="A20" s="53" t="s">
        <v>110</v>
      </c>
      <c r="B20" s="53" t="s">
        <v>111</v>
      </c>
      <c r="C20" s="51" t="s">
        <v>112</v>
      </c>
      <c r="D20" s="51" t="s">
        <v>113</v>
      </c>
      <c r="E20" s="51" t="s">
        <v>114</v>
      </c>
      <c r="F20" s="51" t="s">
        <v>115</v>
      </c>
      <c r="G20" s="52" t="s">
        <v>116</v>
      </c>
      <c r="H20" s="52" t="s">
        <v>25</v>
      </c>
    </row>
    <row r="21" ht="58" customHeight="1" spans="1:8">
      <c r="A21" s="53" t="s">
        <v>117</v>
      </c>
      <c r="B21" s="53" t="s">
        <v>111</v>
      </c>
      <c r="C21" s="8" t="s">
        <v>118</v>
      </c>
      <c r="D21" s="8" t="s">
        <v>119</v>
      </c>
      <c r="E21" s="8" t="s">
        <v>120</v>
      </c>
      <c r="F21" s="8" t="s">
        <v>121</v>
      </c>
      <c r="G21" s="9" t="s">
        <v>122</v>
      </c>
      <c r="H21" s="9" t="s">
        <v>25</v>
      </c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D12" sqref="D12"/>
    </sheetView>
  </sheetViews>
  <sheetFormatPr defaultColWidth="9" defaultRowHeight="14.25" outlineLevelCol="7"/>
  <cols>
    <col min="1" max="1" width="8" customWidth="1"/>
    <col min="2" max="2" width="18" customWidth="1"/>
    <col min="3" max="3" width="20" customWidth="1"/>
    <col min="4" max="4" width="44" customWidth="1"/>
    <col min="5" max="5" width="34" customWidth="1"/>
    <col min="6" max="6" width="31" customWidth="1"/>
    <col min="7" max="8" width="18" customWidth="1"/>
  </cols>
  <sheetData>
    <row r="1" ht="30" customHeight="1" spans="1:8">
      <c r="A1" s="1" t="s">
        <v>123</v>
      </c>
      <c r="B1" s="1" t="s">
        <v>123</v>
      </c>
      <c r="C1" s="1" t="s">
        <v>123</v>
      </c>
      <c r="D1" s="1" t="s">
        <v>123</v>
      </c>
      <c r="E1" s="1" t="s">
        <v>123</v>
      </c>
      <c r="F1" s="1" t="s">
        <v>123</v>
      </c>
      <c r="G1" s="1" t="s">
        <v>123</v>
      </c>
      <c r="H1" s="1" t="s">
        <v>123</v>
      </c>
    </row>
    <row r="2" ht="24" customHeight="1" spans="1:8">
      <c r="A2" s="2" t="s">
        <v>124</v>
      </c>
      <c r="B2" s="2" t="s">
        <v>124</v>
      </c>
      <c r="C2" s="2" t="s">
        <v>124</v>
      </c>
      <c r="D2" s="2" t="s">
        <v>124</v>
      </c>
      <c r="E2" s="2" t="s">
        <v>124</v>
      </c>
      <c r="F2" s="2" t="s">
        <v>124</v>
      </c>
      <c r="G2" s="2" t="s">
        <v>124</v>
      </c>
      <c r="H2" s="2" t="s">
        <v>124</v>
      </c>
    </row>
    <row r="3" ht="28" customHeight="1" spans="1:8">
      <c r="A3" s="11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58" customHeight="1" spans="1:8">
      <c r="A5" s="50" t="s">
        <v>125</v>
      </c>
      <c r="B5" s="50" t="s">
        <v>12</v>
      </c>
      <c r="C5" s="8" t="s">
        <v>126</v>
      </c>
      <c r="D5" s="8" t="s">
        <v>127</v>
      </c>
      <c r="E5" s="8" t="s">
        <v>128</v>
      </c>
      <c r="F5" s="8" t="s">
        <v>129</v>
      </c>
      <c r="G5" s="9" t="s">
        <v>17</v>
      </c>
      <c r="H5" s="9" t="s">
        <v>130</v>
      </c>
    </row>
    <row r="6" ht="58" customHeight="1" spans="1:8">
      <c r="A6" s="7" t="s">
        <v>131</v>
      </c>
      <c r="B6" s="7" t="s">
        <v>33</v>
      </c>
      <c r="C6" s="51" t="s">
        <v>132</v>
      </c>
      <c r="D6" s="51" t="s">
        <v>133</v>
      </c>
      <c r="E6" s="51" t="s">
        <v>134</v>
      </c>
      <c r="F6" s="51" t="s">
        <v>135</v>
      </c>
      <c r="G6" s="52" t="s">
        <v>38</v>
      </c>
      <c r="H6" s="52" t="s">
        <v>136</v>
      </c>
    </row>
    <row r="7" ht="58" customHeight="1" spans="1:8">
      <c r="A7" s="7" t="s">
        <v>137</v>
      </c>
      <c r="B7" s="7" t="s">
        <v>33</v>
      </c>
      <c r="C7" s="8" t="s">
        <v>138</v>
      </c>
      <c r="D7" s="8" t="s">
        <v>139</v>
      </c>
      <c r="E7" s="8" t="s">
        <v>140</v>
      </c>
      <c r="F7" s="8" t="s">
        <v>141</v>
      </c>
      <c r="G7" s="9" t="s">
        <v>142</v>
      </c>
      <c r="H7" s="9" t="s">
        <v>136</v>
      </c>
    </row>
    <row r="8" ht="58" customHeight="1" spans="1:8">
      <c r="A8" s="7" t="s">
        <v>143</v>
      </c>
      <c r="B8" s="7" t="s">
        <v>33</v>
      </c>
      <c r="C8" s="51" t="s">
        <v>144</v>
      </c>
      <c r="D8" s="51" t="s">
        <v>145</v>
      </c>
      <c r="E8" s="51" t="s">
        <v>146</v>
      </c>
      <c r="F8" s="51" t="s">
        <v>147</v>
      </c>
      <c r="G8" s="52" t="s">
        <v>148</v>
      </c>
      <c r="H8" s="52" t="s">
        <v>136</v>
      </c>
    </row>
    <row r="9" ht="58" customHeight="1" spans="1:8">
      <c r="A9" s="7" t="s">
        <v>149</v>
      </c>
      <c r="B9" s="7" t="s">
        <v>33</v>
      </c>
      <c r="C9" s="8" t="s">
        <v>150</v>
      </c>
      <c r="D9" s="8" t="s">
        <v>151</v>
      </c>
      <c r="E9" s="8" t="s">
        <v>152</v>
      </c>
      <c r="F9" s="8" t="s">
        <v>153</v>
      </c>
      <c r="G9" s="9" t="s">
        <v>142</v>
      </c>
      <c r="H9" s="9" t="s">
        <v>136</v>
      </c>
    </row>
    <row r="10" ht="58" customHeight="1" spans="1:8">
      <c r="A10" s="7" t="s">
        <v>154</v>
      </c>
      <c r="B10" s="7" t="s">
        <v>33</v>
      </c>
      <c r="C10" s="51" t="s">
        <v>155</v>
      </c>
      <c r="D10" s="51" t="s">
        <v>156</v>
      </c>
      <c r="E10" s="51" t="s">
        <v>157</v>
      </c>
      <c r="F10" s="51" t="s">
        <v>158</v>
      </c>
      <c r="G10" s="52" t="s">
        <v>38</v>
      </c>
      <c r="H10" s="52" t="s">
        <v>136</v>
      </c>
    </row>
    <row r="11" ht="58" customHeight="1" spans="1:8">
      <c r="A11" s="7" t="s">
        <v>159</v>
      </c>
      <c r="B11" s="7" t="s">
        <v>33</v>
      </c>
      <c r="C11" s="8" t="s">
        <v>160</v>
      </c>
      <c r="D11" s="8" t="s">
        <v>161</v>
      </c>
      <c r="E11" s="8" t="s">
        <v>162</v>
      </c>
      <c r="F11" s="8" t="s">
        <v>163</v>
      </c>
      <c r="G11" s="9" t="s">
        <v>164</v>
      </c>
      <c r="H11" s="9" t="s">
        <v>136</v>
      </c>
    </row>
    <row r="12" ht="58" customHeight="1" spans="1:8">
      <c r="A12" s="32" t="s">
        <v>165</v>
      </c>
      <c r="B12" s="32" t="s">
        <v>84</v>
      </c>
      <c r="C12" s="51" t="s">
        <v>166</v>
      </c>
      <c r="D12" s="51" t="s">
        <v>167</v>
      </c>
      <c r="E12" s="51" t="s">
        <v>168</v>
      </c>
      <c r="F12" s="51" t="s">
        <v>169</v>
      </c>
      <c r="G12" s="52" t="s">
        <v>38</v>
      </c>
      <c r="H12" s="52" t="s">
        <v>136</v>
      </c>
    </row>
    <row r="13" ht="58" customHeight="1" spans="1:8">
      <c r="A13" s="32" t="s">
        <v>170</v>
      </c>
      <c r="B13" s="32" t="s">
        <v>84</v>
      </c>
      <c r="C13" s="8" t="s">
        <v>171</v>
      </c>
      <c r="D13" s="8" t="s">
        <v>172</v>
      </c>
      <c r="E13" s="8" t="s">
        <v>173</v>
      </c>
      <c r="F13" s="8" t="s">
        <v>174</v>
      </c>
      <c r="G13" s="9" t="s">
        <v>175</v>
      </c>
      <c r="H13" s="9" t="s">
        <v>136</v>
      </c>
    </row>
    <row r="14" ht="58" customHeight="1" spans="1:8">
      <c r="A14" s="32" t="s">
        <v>176</v>
      </c>
      <c r="B14" s="32" t="s">
        <v>84</v>
      </c>
      <c r="C14" s="51" t="s">
        <v>177</v>
      </c>
      <c r="D14" s="51" t="s">
        <v>178</v>
      </c>
      <c r="E14" s="51" t="s">
        <v>179</v>
      </c>
      <c r="F14" s="51" t="s">
        <v>180</v>
      </c>
      <c r="G14" s="52" t="s">
        <v>181</v>
      </c>
      <c r="H14" s="52" t="s">
        <v>136</v>
      </c>
    </row>
    <row r="15" ht="58" customHeight="1" spans="1:8">
      <c r="A15" s="53" t="s">
        <v>182</v>
      </c>
      <c r="B15" s="53" t="s">
        <v>111</v>
      </c>
      <c r="C15" s="8" t="s">
        <v>183</v>
      </c>
      <c r="D15" s="8" t="s">
        <v>184</v>
      </c>
      <c r="E15" s="8" t="s">
        <v>185</v>
      </c>
      <c r="F15" s="8" t="s">
        <v>186</v>
      </c>
      <c r="G15" s="9" t="s">
        <v>187</v>
      </c>
      <c r="H15" s="9" t="s">
        <v>136</v>
      </c>
    </row>
    <row r="16" ht="58" customHeight="1" spans="1:8">
      <c r="A16" s="53" t="s">
        <v>188</v>
      </c>
      <c r="B16" s="53" t="s">
        <v>111</v>
      </c>
      <c r="C16" s="51" t="s">
        <v>189</v>
      </c>
      <c r="D16" s="51" t="s">
        <v>190</v>
      </c>
      <c r="E16" s="51" t="s">
        <v>191</v>
      </c>
      <c r="F16" s="51" t="s">
        <v>192</v>
      </c>
      <c r="G16" s="52" t="s">
        <v>193</v>
      </c>
      <c r="H16" s="52" t="s">
        <v>194</v>
      </c>
    </row>
    <row r="17" ht="58" customHeight="1" spans="1:8">
      <c r="A17" s="53" t="s">
        <v>195</v>
      </c>
      <c r="B17" s="53" t="s">
        <v>111</v>
      </c>
      <c r="C17" s="8" t="s">
        <v>196</v>
      </c>
      <c r="D17" s="8" t="s">
        <v>197</v>
      </c>
      <c r="E17" s="8" t="s">
        <v>198</v>
      </c>
      <c r="F17" s="8" t="s">
        <v>199</v>
      </c>
      <c r="G17" s="9" t="s">
        <v>200</v>
      </c>
      <c r="H17" s="9" t="s">
        <v>201</v>
      </c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workbookViewId="0">
      <selection activeCell="E10" sqref="E10"/>
    </sheetView>
  </sheetViews>
  <sheetFormatPr defaultColWidth="9" defaultRowHeight="14.25" outlineLevelCol="7"/>
  <cols>
    <col min="1" max="1" width="8" customWidth="1"/>
    <col min="2" max="2" width="18" customWidth="1"/>
    <col min="3" max="3" width="20" customWidth="1"/>
    <col min="4" max="4" width="44" customWidth="1"/>
    <col min="5" max="5" width="34" customWidth="1"/>
    <col min="6" max="6" width="31" customWidth="1"/>
    <col min="7" max="8" width="18" customWidth="1"/>
  </cols>
  <sheetData>
    <row r="1" ht="30" customHeight="1" spans="1:8">
      <c r="A1" s="1" t="s">
        <v>202</v>
      </c>
      <c r="B1" s="1" t="s">
        <v>202</v>
      </c>
      <c r="C1" s="1" t="s">
        <v>202</v>
      </c>
      <c r="D1" s="1" t="s">
        <v>202</v>
      </c>
      <c r="E1" s="1" t="s">
        <v>202</v>
      </c>
      <c r="F1" s="1" t="s">
        <v>202</v>
      </c>
      <c r="G1" s="1" t="s">
        <v>202</v>
      </c>
      <c r="H1" s="1" t="s">
        <v>202</v>
      </c>
    </row>
    <row r="2" ht="24" customHeight="1" spans="1:8">
      <c r="A2" s="2" t="s">
        <v>203</v>
      </c>
      <c r="B2" s="2" t="s">
        <v>203</v>
      </c>
      <c r="C2" s="2" t="s">
        <v>203</v>
      </c>
      <c r="D2" s="2" t="s">
        <v>203</v>
      </c>
      <c r="E2" s="2" t="s">
        <v>203</v>
      </c>
      <c r="F2" s="2" t="s">
        <v>203</v>
      </c>
      <c r="G2" s="2" t="s">
        <v>203</v>
      </c>
      <c r="H2" s="2" t="s">
        <v>203</v>
      </c>
    </row>
    <row r="3" ht="28" customHeight="1" spans="1:8">
      <c r="A3" s="11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58" customHeight="1" spans="1:8">
      <c r="A5" s="50" t="s">
        <v>204</v>
      </c>
      <c r="B5" s="50" t="s">
        <v>12</v>
      </c>
      <c r="C5" s="8" t="s">
        <v>205</v>
      </c>
      <c r="D5" s="8" t="s">
        <v>206</v>
      </c>
      <c r="E5" s="8" t="s">
        <v>207</v>
      </c>
      <c r="F5" s="8" t="s">
        <v>208</v>
      </c>
      <c r="G5" s="9" t="s">
        <v>17</v>
      </c>
      <c r="H5" s="9" t="s">
        <v>209</v>
      </c>
    </row>
    <row r="6" ht="58" customHeight="1" spans="1:8">
      <c r="A6" s="7" t="s">
        <v>210</v>
      </c>
      <c r="B6" s="7" t="s">
        <v>33</v>
      </c>
      <c r="C6" s="51" t="s">
        <v>211</v>
      </c>
      <c r="D6" s="51" t="s">
        <v>212</v>
      </c>
      <c r="E6" s="51" t="s">
        <v>213</v>
      </c>
      <c r="F6" s="51" t="s">
        <v>214</v>
      </c>
      <c r="G6" s="52" t="s">
        <v>38</v>
      </c>
      <c r="H6" s="52" t="s">
        <v>215</v>
      </c>
    </row>
    <row r="7" ht="58" customHeight="1" spans="1:8">
      <c r="A7" s="7" t="s">
        <v>216</v>
      </c>
      <c r="B7" s="7" t="s">
        <v>33</v>
      </c>
      <c r="C7" s="8" t="s">
        <v>217</v>
      </c>
      <c r="D7" s="8" t="s">
        <v>218</v>
      </c>
      <c r="E7" s="8" t="s">
        <v>219</v>
      </c>
      <c r="F7" s="8" t="s">
        <v>220</v>
      </c>
      <c r="G7" s="9" t="s">
        <v>38</v>
      </c>
      <c r="H7" s="9" t="s">
        <v>221</v>
      </c>
    </row>
    <row r="8" ht="58" customHeight="1" spans="1:8">
      <c r="A8" s="7" t="s">
        <v>222</v>
      </c>
      <c r="B8" s="7" t="s">
        <v>33</v>
      </c>
      <c r="C8" s="51" t="s">
        <v>223</v>
      </c>
      <c r="D8" s="51" t="s">
        <v>224</v>
      </c>
      <c r="E8" s="51" t="s">
        <v>225</v>
      </c>
      <c r="F8" s="51" t="s">
        <v>226</v>
      </c>
      <c r="G8" s="52" t="s">
        <v>227</v>
      </c>
      <c r="H8" s="52" t="s">
        <v>228</v>
      </c>
    </row>
    <row r="9" ht="58" customHeight="1" spans="1:8">
      <c r="A9" s="7" t="s">
        <v>229</v>
      </c>
      <c r="B9" s="7" t="s">
        <v>33</v>
      </c>
      <c r="C9" s="8" t="s">
        <v>230</v>
      </c>
      <c r="D9" s="8" t="s">
        <v>231</v>
      </c>
      <c r="E9" s="8" t="s">
        <v>232</v>
      </c>
      <c r="F9" s="8" t="s">
        <v>233</v>
      </c>
      <c r="G9" s="9" t="s">
        <v>234</v>
      </c>
      <c r="H9" s="9" t="s">
        <v>228</v>
      </c>
    </row>
    <row r="10" ht="58" customHeight="1" spans="1:8">
      <c r="A10" s="7" t="s">
        <v>235</v>
      </c>
      <c r="B10" s="7" t="s">
        <v>33</v>
      </c>
      <c r="C10" s="51" t="s">
        <v>236</v>
      </c>
      <c r="D10" s="51" t="s">
        <v>237</v>
      </c>
      <c r="E10" s="51" t="s">
        <v>238</v>
      </c>
      <c r="F10" s="51" t="s">
        <v>239</v>
      </c>
      <c r="G10" s="52" t="s">
        <v>142</v>
      </c>
      <c r="H10" s="52" t="s">
        <v>228</v>
      </c>
    </row>
    <row r="11" ht="58" customHeight="1" spans="1:8">
      <c r="A11" s="7" t="s">
        <v>240</v>
      </c>
      <c r="B11" s="7" t="s">
        <v>33</v>
      </c>
      <c r="C11" s="8" t="s">
        <v>241</v>
      </c>
      <c r="D11" s="8" t="s">
        <v>242</v>
      </c>
      <c r="E11" s="8" t="s">
        <v>243</v>
      </c>
      <c r="F11" s="8" t="s">
        <v>244</v>
      </c>
      <c r="G11" s="9" t="s">
        <v>245</v>
      </c>
      <c r="H11" s="9" t="s">
        <v>228</v>
      </c>
    </row>
    <row r="12" ht="58" customHeight="1" spans="1:8">
      <c r="A12" s="7" t="s">
        <v>246</v>
      </c>
      <c r="B12" s="7" t="s">
        <v>33</v>
      </c>
      <c r="C12" s="51" t="s">
        <v>247</v>
      </c>
      <c r="D12" s="51" t="s">
        <v>248</v>
      </c>
      <c r="E12" s="51" t="s">
        <v>249</v>
      </c>
      <c r="F12" s="51" t="s">
        <v>250</v>
      </c>
      <c r="G12" s="52" t="s">
        <v>38</v>
      </c>
      <c r="H12" s="52" t="s">
        <v>228</v>
      </c>
    </row>
    <row r="13" ht="58" customHeight="1" spans="1:8">
      <c r="A13" s="7" t="s">
        <v>251</v>
      </c>
      <c r="B13" s="7" t="s">
        <v>33</v>
      </c>
      <c r="C13" s="8" t="s">
        <v>252</v>
      </c>
      <c r="D13" s="8" t="s">
        <v>253</v>
      </c>
      <c r="E13" s="8" t="s">
        <v>254</v>
      </c>
      <c r="F13" s="8" t="s">
        <v>255</v>
      </c>
      <c r="G13" s="9" t="s">
        <v>38</v>
      </c>
      <c r="H13" s="9" t="s">
        <v>228</v>
      </c>
    </row>
    <row r="14" ht="58" customHeight="1" spans="1:8">
      <c r="A14" s="7" t="s">
        <v>256</v>
      </c>
      <c r="B14" s="7" t="s">
        <v>33</v>
      </c>
      <c r="C14" s="51" t="s">
        <v>257</v>
      </c>
      <c r="D14" s="51" t="s">
        <v>258</v>
      </c>
      <c r="E14" s="51" t="s">
        <v>259</v>
      </c>
      <c r="F14" s="51" t="s">
        <v>260</v>
      </c>
      <c r="G14" s="52" t="s">
        <v>38</v>
      </c>
      <c r="H14" s="52" t="s">
        <v>228</v>
      </c>
    </row>
    <row r="15" ht="58" customHeight="1" spans="1:8">
      <c r="A15" s="7" t="s">
        <v>261</v>
      </c>
      <c r="B15" s="7" t="s">
        <v>33</v>
      </c>
      <c r="C15" s="8" t="s">
        <v>262</v>
      </c>
      <c r="D15" s="8" t="s">
        <v>263</v>
      </c>
      <c r="E15" s="8" t="s">
        <v>264</v>
      </c>
      <c r="F15" s="8" t="s">
        <v>265</v>
      </c>
      <c r="G15" s="9" t="s">
        <v>266</v>
      </c>
      <c r="H15" s="9" t="s">
        <v>228</v>
      </c>
    </row>
    <row r="16" ht="58" customHeight="1" spans="1:8">
      <c r="A16" s="32" t="s">
        <v>267</v>
      </c>
      <c r="B16" s="32" t="s">
        <v>84</v>
      </c>
      <c r="C16" s="51" t="s">
        <v>268</v>
      </c>
      <c r="D16" s="51" t="s">
        <v>269</v>
      </c>
      <c r="E16" s="51" t="s">
        <v>270</v>
      </c>
      <c r="F16" s="51" t="s">
        <v>271</v>
      </c>
      <c r="G16" s="52" t="s">
        <v>142</v>
      </c>
      <c r="H16" s="52" t="s">
        <v>228</v>
      </c>
    </row>
    <row r="17" ht="58" customHeight="1" spans="1:8">
      <c r="A17" s="32" t="s">
        <v>272</v>
      </c>
      <c r="B17" s="32" t="s">
        <v>84</v>
      </c>
      <c r="C17" s="8" t="s">
        <v>273</v>
      </c>
      <c r="D17" s="8" t="s">
        <v>274</v>
      </c>
      <c r="E17" s="8" t="s">
        <v>275</v>
      </c>
      <c r="F17" s="8" t="s">
        <v>276</v>
      </c>
      <c r="G17" s="9" t="s">
        <v>277</v>
      </c>
      <c r="H17" s="9" t="s">
        <v>228</v>
      </c>
    </row>
    <row r="18" ht="58" customHeight="1" spans="1:8">
      <c r="A18" s="32" t="s">
        <v>278</v>
      </c>
      <c r="B18" s="32" t="s">
        <v>84</v>
      </c>
      <c r="C18" s="51" t="s">
        <v>279</v>
      </c>
      <c r="D18" s="51" t="s">
        <v>280</v>
      </c>
      <c r="E18" s="51" t="s">
        <v>281</v>
      </c>
      <c r="F18" s="51" t="s">
        <v>282</v>
      </c>
      <c r="G18" s="52" t="s">
        <v>181</v>
      </c>
      <c r="H18" s="52" t="s">
        <v>283</v>
      </c>
    </row>
    <row r="19" ht="58" customHeight="1" spans="1:8">
      <c r="A19" s="32" t="s">
        <v>284</v>
      </c>
      <c r="B19" s="32" t="s">
        <v>84</v>
      </c>
      <c r="C19" s="8" t="s">
        <v>285</v>
      </c>
      <c r="D19" s="8" t="s">
        <v>286</v>
      </c>
      <c r="E19" s="8" t="s">
        <v>287</v>
      </c>
      <c r="F19" s="8" t="s">
        <v>288</v>
      </c>
      <c r="G19" s="9" t="s">
        <v>38</v>
      </c>
      <c r="H19" s="9" t="s">
        <v>228</v>
      </c>
    </row>
    <row r="20" ht="58" customHeight="1" spans="1:8">
      <c r="A20" s="53" t="s">
        <v>289</v>
      </c>
      <c r="B20" s="53" t="s">
        <v>111</v>
      </c>
      <c r="C20" s="51" t="s">
        <v>290</v>
      </c>
      <c r="D20" s="51" t="s">
        <v>291</v>
      </c>
      <c r="E20" s="51" t="s">
        <v>292</v>
      </c>
      <c r="F20" s="51" t="s">
        <v>293</v>
      </c>
      <c r="G20" s="52" t="s">
        <v>187</v>
      </c>
      <c r="H20" s="52" t="s">
        <v>228</v>
      </c>
    </row>
    <row r="21" ht="58" customHeight="1" spans="1:8">
      <c r="A21" s="53" t="s">
        <v>294</v>
      </c>
      <c r="B21" s="53" t="s">
        <v>111</v>
      </c>
      <c r="C21" s="8" t="s">
        <v>295</v>
      </c>
      <c r="D21" s="8" t="s">
        <v>296</v>
      </c>
      <c r="E21" s="8" t="s">
        <v>297</v>
      </c>
      <c r="F21" s="8" t="s">
        <v>298</v>
      </c>
      <c r="G21" s="9" t="s">
        <v>299</v>
      </c>
      <c r="H21" s="9" t="s">
        <v>300</v>
      </c>
    </row>
    <row r="22" spans="1:8">
      <c r="A22" s="10"/>
      <c r="B22" s="10"/>
      <c r="C22" s="10"/>
      <c r="D22" s="10"/>
      <c r="E22" s="10"/>
      <c r="F22" s="10"/>
      <c r="G22" s="10"/>
      <c r="H22" s="10"/>
    </row>
    <row r="23" spans="1:8">
      <c r="A23" s="10"/>
      <c r="B23" s="10"/>
      <c r="C23" s="10"/>
      <c r="D23" s="10"/>
      <c r="E23" s="10"/>
      <c r="F23" s="10"/>
      <c r="G23" s="10"/>
      <c r="H23" s="10"/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showGridLines="0" workbookViewId="0">
      <selection activeCell="A1" sqref="A1:J1"/>
    </sheetView>
  </sheetViews>
  <sheetFormatPr defaultColWidth="9" defaultRowHeight="14.25"/>
  <cols>
    <col min="1" max="1" width="19" customWidth="1"/>
    <col min="2" max="2" width="30" customWidth="1"/>
    <col min="3" max="3" width="24" customWidth="1"/>
    <col min="4" max="4" width="25" customWidth="1"/>
    <col min="5" max="5" width="34" customWidth="1"/>
    <col min="6" max="6" width="30" customWidth="1"/>
    <col min="7" max="7" width="29" customWidth="1"/>
    <col min="8" max="8" width="31" customWidth="1"/>
    <col min="9" max="9" width="24" customWidth="1"/>
    <col min="10" max="10" width="27" customWidth="1"/>
  </cols>
  <sheetData>
    <row r="1" ht="30" customHeight="1" spans="1:10">
      <c r="A1" s="1" t="s">
        <v>301</v>
      </c>
      <c r="B1" s="1" t="s">
        <v>301</v>
      </c>
      <c r="C1" s="1" t="s">
        <v>301</v>
      </c>
      <c r="D1" s="1" t="s">
        <v>301</v>
      </c>
      <c r="E1" s="1" t="s">
        <v>301</v>
      </c>
      <c r="F1" s="1" t="s">
        <v>301</v>
      </c>
      <c r="G1" s="1" t="s">
        <v>301</v>
      </c>
      <c r="H1" s="1" t="s">
        <v>301</v>
      </c>
      <c r="I1" s="1" t="s">
        <v>301</v>
      </c>
      <c r="J1" s="1" t="s">
        <v>301</v>
      </c>
    </row>
    <row r="2" ht="24" customHeight="1" spans="1:10">
      <c r="A2" s="2" t="s">
        <v>302</v>
      </c>
      <c r="B2" s="2" t="s">
        <v>302</v>
      </c>
      <c r="C2" s="2" t="s">
        <v>302</v>
      </c>
      <c r="D2" s="2" t="s">
        <v>302</v>
      </c>
      <c r="E2" s="2" t="s">
        <v>302</v>
      </c>
      <c r="F2" s="2" t="s">
        <v>302</v>
      </c>
      <c r="G2" s="2" t="s">
        <v>302</v>
      </c>
      <c r="H2" s="2" t="s">
        <v>302</v>
      </c>
      <c r="I2" s="2" t="s">
        <v>302</v>
      </c>
      <c r="J2" s="2" t="s">
        <v>302</v>
      </c>
    </row>
    <row r="3" ht="28" customHeight="1" spans="1:10">
      <c r="A3" s="29" t="s">
        <v>303</v>
      </c>
      <c r="B3" s="30" t="s">
        <v>303</v>
      </c>
      <c r="C3" s="30" t="s">
        <v>303</v>
      </c>
      <c r="D3" s="30" t="s">
        <v>303</v>
      </c>
      <c r="E3" s="30" t="s">
        <v>303</v>
      </c>
      <c r="F3" s="30" t="s">
        <v>303</v>
      </c>
      <c r="G3" s="30" t="s">
        <v>303</v>
      </c>
      <c r="H3" s="30" t="s">
        <v>303</v>
      </c>
      <c r="I3" s="30" t="s">
        <v>303</v>
      </c>
      <c r="J3" s="31" t="s">
        <v>303</v>
      </c>
    </row>
    <row r="4" spans="1:10">
      <c r="A4" s="6" t="s">
        <v>304</v>
      </c>
      <c r="B4" s="6" t="s">
        <v>305</v>
      </c>
      <c r="C4" s="6" t="s">
        <v>306</v>
      </c>
      <c r="D4" s="6" t="s">
        <v>307</v>
      </c>
      <c r="E4" s="6" t="s">
        <v>308</v>
      </c>
      <c r="F4" s="6" t="s">
        <v>309</v>
      </c>
      <c r="G4" s="6" t="s">
        <v>84</v>
      </c>
      <c r="H4" s="6" t="s">
        <v>111</v>
      </c>
      <c r="I4" s="6" t="s">
        <v>310</v>
      </c>
      <c r="J4" s="6" t="s">
        <v>311</v>
      </c>
    </row>
    <row r="5" ht="66" customHeight="1" spans="1:10">
      <c r="A5" s="7" t="s">
        <v>312</v>
      </c>
      <c r="B5" s="8" t="s">
        <v>313</v>
      </c>
      <c r="C5" s="8" t="s">
        <v>314</v>
      </c>
      <c r="D5" s="8" t="s">
        <v>315</v>
      </c>
      <c r="E5" s="8" t="s">
        <v>316</v>
      </c>
      <c r="F5" s="8" t="s">
        <v>317</v>
      </c>
      <c r="G5" s="8" t="s">
        <v>318</v>
      </c>
      <c r="H5" s="8" t="s">
        <v>319</v>
      </c>
      <c r="I5" s="8" t="s">
        <v>320</v>
      </c>
      <c r="J5" s="8" t="s">
        <v>321</v>
      </c>
    </row>
    <row r="6" ht="66" customHeight="1" spans="1:10">
      <c r="A6" s="7" t="s">
        <v>322</v>
      </c>
      <c r="B6" s="8" t="s">
        <v>323</v>
      </c>
      <c r="C6" s="8" t="s">
        <v>324</v>
      </c>
      <c r="D6" s="8" t="s">
        <v>325</v>
      </c>
      <c r="E6" s="8" t="s">
        <v>326</v>
      </c>
      <c r="F6" s="8" t="s">
        <v>327</v>
      </c>
      <c r="G6" s="8" t="s">
        <v>328</v>
      </c>
      <c r="H6" s="8" t="s">
        <v>329</v>
      </c>
      <c r="I6" s="8" t="s">
        <v>330</v>
      </c>
      <c r="J6" s="8" t="s">
        <v>331</v>
      </c>
    </row>
    <row r="7" ht="66" customHeight="1" spans="1:10">
      <c r="A7" s="7" t="s">
        <v>332</v>
      </c>
      <c r="B7" s="8" t="s">
        <v>333</v>
      </c>
      <c r="C7" s="8" t="s">
        <v>334</v>
      </c>
      <c r="D7" s="8" t="s">
        <v>335</v>
      </c>
      <c r="E7" s="8" t="s">
        <v>336</v>
      </c>
      <c r="F7" s="8" t="s">
        <v>337</v>
      </c>
      <c r="G7" s="8" t="s">
        <v>338</v>
      </c>
      <c r="H7" s="8" t="s">
        <v>339</v>
      </c>
      <c r="I7" s="8" t="s">
        <v>340</v>
      </c>
      <c r="J7" s="8" t="s">
        <v>341</v>
      </c>
    </row>
    <row r="8" ht="66" customHeight="1" spans="1:10">
      <c r="A8" s="7" t="s">
        <v>342</v>
      </c>
      <c r="B8" s="8" t="s">
        <v>343</v>
      </c>
      <c r="C8" s="8" t="s">
        <v>344</v>
      </c>
      <c r="D8" s="8" t="s">
        <v>345</v>
      </c>
      <c r="E8" s="8" t="s">
        <v>346</v>
      </c>
      <c r="F8" s="8" t="s">
        <v>347</v>
      </c>
      <c r="G8" s="8" t="s">
        <v>348</v>
      </c>
      <c r="H8" s="8" t="s">
        <v>349</v>
      </c>
      <c r="I8" s="8" t="s">
        <v>350</v>
      </c>
      <c r="J8" s="8" t="s">
        <v>351</v>
      </c>
    </row>
    <row r="9" ht="66" customHeight="1" spans="1:10">
      <c r="A9" s="7" t="s">
        <v>352</v>
      </c>
      <c r="B9" s="8" t="s">
        <v>353</v>
      </c>
      <c r="C9" s="8" t="s">
        <v>354</v>
      </c>
      <c r="D9" s="8" t="s">
        <v>355</v>
      </c>
      <c r="E9" s="8" t="s">
        <v>356</v>
      </c>
      <c r="F9" s="8" t="s">
        <v>357</v>
      </c>
      <c r="G9" s="8" t="s">
        <v>358</v>
      </c>
      <c r="H9" s="8" t="s">
        <v>359</v>
      </c>
      <c r="I9" s="8" t="s">
        <v>350</v>
      </c>
      <c r="J9" s="8" t="s">
        <v>360</v>
      </c>
    </row>
    <row r="10" ht="66" customHeight="1" spans="1:10">
      <c r="A10" s="7" t="s">
        <v>361</v>
      </c>
      <c r="B10" s="8" t="s">
        <v>362</v>
      </c>
      <c r="C10" s="8" t="s">
        <v>363</v>
      </c>
      <c r="D10" s="8" t="s">
        <v>364</v>
      </c>
      <c r="E10" s="8" t="s">
        <v>365</v>
      </c>
      <c r="F10" s="8" t="s">
        <v>366</v>
      </c>
      <c r="G10" s="8" t="s">
        <v>367</v>
      </c>
      <c r="H10" s="8" t="s">
        <v>368</v>
      </c>
      <c r="I10" s="8" t="s">
        <v>369</v>
      </c>
      <c r="J10" s="8" t="s">
        <v>370</v>
      </c>
    </row>
    <row r="11" ht="66" customHeight="1" spans="1:10">
      <c r="A11" s="7" t="s">
        <v>371</v>
      </c>
      <c r="B11" s="8" t="s">
        <v>372</v>
      </c>
      <c r="C11" s="8" t="s">
        <v>373</v>
      </c>
      <c r="D11" s="8" t="s">
        <v>374</v>
      </c>
      <c r="E11" s="8" t="s">
        <v>375</v>
      </c>
      <c r="F11" s="8" t="s">
        <v>376</v>
      </c>
      <c r="G11" s="8" t="s">
        <v>377</v>
      </c>
      <c r="H11" s="8" t="s">
        <v>378</v>
      </c>
      <c r="I11" s="8" t="s">
        <v>379</v>
      </c>
      <c r="J11" s="8" t="s">
        <v>380</v>
      </c>
    </row>
    <row r="12" spans="1:10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>
      <c r="A13" s="10"/>
      <c r="B13" s="10"/>
      <c r="C13" s="10"/>
      <c r="D13" s="10"/>
      <c r="E13" s="10"/>
      <c r="F13" s="10"/>
      <c r="G13" s="10"/>
      <c r="H13" s="10"/>
      <c r="I13" s="10"/>
      <c r="J13" s="10"/>
    </row>
  </sheetData>
  <mergeCells count="3">
    <mergeCell ref="A1:J1"/>
    <mergeCell ref="A2:J2"/>
    <mergeCell ref="A3:J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workbookViewId="0">
      <selection activeCell="A1" sqref="A1:L1"/>
    </sheetView>
  </sheetViews>
  <sheetFormatPr defaultColWidth="9" defaultRowHeight="14.25"/>
  <cols>
    <col min="1" max="1" width="10" customWidth="1"/>
    <col min="2" max="2" width="14" customWidth="1"/>
    <col min="3" max="3" width="19" customWidth="1"/>
    <col min="4" max="4" width="23" customWidth="1"/>
    <col min="5" max="5" width="43" customWidth="1"/>
    <col min="6" max="6" width="12" customWidth="1"/>
    <col min="7" max="9" width="13" customWidth="1"/>
    <col min="10" max="10" width="24" customWidth="1"/>
    <col min="11" max="11" width="19" customWidth="1"/>
    <col min="12" max="12" width="27" customWidth="1"/>
  </cols>
  <sheetData>
    <row r="1" ht="30" customHeight="1" spans="1:12">
      <c r="A1" s="1" t="s">
        <v>381</v>
      </c>
      <c r="B1" s="1" t="s">
        <v>381</v>
      </c>
      <c r="C1" s="1" t="s">
        <v>381</v>
      </c>
      <c r="D1" s="1" t="s">
        <v>381</v>
      </c>
      <c r="E1" s="1" t="s">
        <v>381</v>
      </c>
      <c r="F1" s="1" t="s">
        <v>381</v>
      </c>
      <c r="G1" s="1" t="s">
        <v>381</v>
      </c>
      <c r="H1" s="1" t="s">
        <v>381</v>
      </c>
      <c r="I1" s="1" t="s">
        <v>381</v>
      </c>
      <c r="J1" s="1" t="s">
        <v>381</v>
      </c>
      <c r="K1" s="1" t="s">
        <v>381</v>
      </c>
      <c r="L1" s="1" t="s">
        <v>381</v>
      </c>
    </row>
    <row r="2" ht="24" customHeight="1" spans="1:12">
      <c r="A2" s="2" t="s">
        <v>382</v>
      </c>
      <c r="B2" s="2" t="s">
        <v>382</v>
      </c>
      <c r="C2" s="2" t="s">
        <v>382</v>
      </c>
      <c r="D2" s="2" t="s">
        <v>382</v>
      </c>
      <c r="E2" s="2" t="s">
        <v>382</v>
      </c>
      <c r="F2" s="2" t="s">
        <v>382</v>
      </c>
      <c r="G2" s="2" t="s">
        <v>382</v>
      </c>
      <c r="H2" s="2" t="s">
        <v>382</v>
      </c>
      <c r="I2" s="2" t="s">
        <v>382</v>
      </c>
      <c r="J2" s="2" t="s">
        <v>382</v>
      </c>
      <c r="K2" s="2" t="s">
        <v>382</v>
      </c>
      <c r="L2" s="2" t="s">
        <v>382</v>
      </c>
    </row>
    <row r="3" ht="28" customHeight="1" spans="1:12">
      <c r="A3" s="3" t="s">
        <v>383</v>
      </c>
      <c r="B3" s="4" t="s">
        <v>383</v>
      </c>
      <c r="C3" s="4" t="s">
        <v>383</v>
      </c>
      <c r="D3" s="4" t="s">
        <v>383</v>
      </c>
      <c r="E3" s="4" t="s">
        <v>383</v>
      </c>
      <c r="F3" s="4" t="s">
        <v>383</v>
      </c>
      <c r="G3" s="4" t="s">
        <v>383</v>
      </c>
      <c r="H3" s="4" t="s">
        <v>383</v>
      </c>
      <c r="I3" s="4" t="s">
        <v>383</v>
      </c>
      <c r="J3" s="4" t="s">
        <v>383</v>
      </c>
      <c r="K3" s="4" t="s">
        <v>383</v>
      </c>
      <c r="L3" s="5" t="s">
        <v>383</v>
      </c>
    </row>
    <row r="4" spans="1:12">
      <c r="A4" s="6" t="s">
        <v>384</v>
      </c>
      <c r="B4" s="6" t="s">
        <v>385</v>
      </c>
      <c r="C4" s="6" t="s">
        <v>386</v>
      </c>
      <c r="D4" s="6" t="s">
        <v>387</v>
      </c>
      <c r="E4" s="6" t="s">
        <v>388</v>
      </c>
      <c r="F4" s="6" t="s">
        <v>389</v>
      </c>
      <c r="G4" s="6" t="s">
        <v>390</v>
      </c>
      <c r="H4" s="6" t="s">
        <v>391</v>
      </c>
      <c r="I4" s="6" t="s">
        <v>392</v>
      </c>
      <c r="J4" s="6" t="s">
        <v>393</v>
      </c>
      <c r="K4" s="6" t="s">
        <v>394</v>
      </c>
      <c r="L4" s="6" t="s">
        <v>395</v>
      </c>
    </row>
    <row r="5" ht="45" customHeight="1" spans="1:12">
      <c r="A5" s="9" t="s">
        <v>396</v>
      </c>
      <c r="B5" s="38" t="s">
        <v>306</v>
      </c>
      <c r="C5" s="39" t="s">
        <v>397</v>
      </c>
      <c r="D5" s="8" t="s">
        <v>398</v>
      </c>
      <c r="E5" s="8" t="s">
        <v>399</v>
      </c>
      <c r="F5" s="9" t="s">
        <v>400</v>
      </c>
      <c r="G5" s="9" t="s">
        <v>401</v>
      </c>
      <c r="H5" s="9" t="s">
        <v>401</v>
      </c>
      <c r="I5" s="9" t="s">
        <v>401</v>
      </c>
      <c r="J5" s="8" t="s">
        <v>402</v>
      </c>
      <c r="K5" s="8" t="s">
        <v>403</v>
      </c>
      <c r="L5" s="8" t="s">
        <v>404</v>
      </c>
    </row>
    <row r="6" ht="45" customHeight="1" spans="1:12">
      <c r="A6" s="9" t="s">
        <v>405</v>
      </c>
      <c r="B6" s="38" t="s">
        <v>306</v>
      </c>
      <c r="C6" s="39" t="s">
        <v>406</v>
      </c>
      <c r="D6" s="8" t="s">
        <v>407</v>
      </c>
      <c r="E6" s="8" t="s">
        <v>408</v>
      </c>
      <c r="F6" s="9" t="s">
        <v>400</v>
      </c>
      <c r="G6" s="9" t="s">
        <v>401</v>
      </c>
      <c r="H6" s="9" t="s">
        <v>401</v>
      </c>
      <c r="I6" s="9" t="s">
        <v>401</v>
      </c>
      <c r="J6" s="8" t="s">
        <v>409</v>
      </c>
      <c r="K6" s="8" t="s">
        <v>410</v>
      </c>
      <c r="L6" s="8" t="s">
        <v>411</v>
      </c>
    </row>
    <row r="7" ht="45" customHeight="1" spans="1:12">
      <c r="A7" s="9" t="s">
        <v>412</v>
      </c>
      <c r="B7" s="38" t="s">
        <v>306</v>
      </c>
      <c r="C7" s="39" t="s">
        <v>413</v>
      </c>
      <c r="D7" s="8" t="s">
        <v>414</v>
      </c>
      <c r="E7" s="8" t="s">
        <v>415</v>
      </c>
      <c r="F7" s="9" t="s">
        <v>416</v>
      </c>
      <c r="G7" s="9" t="s">
        <v>401</v>
      </c>
      <c r="H7" s="9" t="s">
        <v>401</v>
      </c>
      <c r="I7" s="9" t="s">
        <v>401</v>
      </c>
      <c r="J7" s="8" t="s">
        <v>417</v>
      </c>
      <c r="K7" s="8" t="s">
        <v>410</v>
      </c>
      <c r="L7" s="8" t="s">
        <v>418</v>
      </c>
    </row>
    <row r="8" ht="45" customHeight="1" spans="1:12">
      <c r="A8" s="9" t="s">
        <v>419</v>
      </c>
      <c r="B8" s="38" t="s">
        <v>306</v>
      </c>
      <c r="C8" s="39" t="s">
        <v>420</v>
      </c>
      <c r="D8" s="8" t="s">
        <v>421</v>
      </c>
      <c r="E8" s="8" t="s">
        <v>422</v>
      </c>
      <c r="F8" s="9" t="s">
        <v>400</v>
      </c>
      <c r="G8" s="9" t="s">
        <v>423</v>
      </c>
      <c r="H8" s="9" t="s">
        <v>401</v>
      </c>
      <c r="I8" s="9" t="s">
        <v>401</v>
      </c>
      <c r="J8" s="8" t="s">
        <v>424</v>
      </c>
      <c r="K8" s="8" t="s">
        <v>425</v>
      </c>
      <c r="L8" s="8" t="s">
        <v>426</v>
      </c>
    </row>
    <row r="9" ht="45" customHeight="1" spans="1:12">
      <c r="A9" s="9" t="s">
        <v>427</v>
      </c>
      <c r="B9" s="38" t="s">
        <v>306</v>
      </c>
      <c r="C9" s="39" t="s">
        <v>428</v>
      </c>
      <c r="D9" s="8" t="s">
        <v>429</v>
      </c>
      <c r="E9" s="8" t="s">
        <v>430</v>
      </c>
      <c r="F9" s="9" t="s">
        <v>416</v>
      </c>
      <c r="G9" s="9" t="s">
        <v>431</v>
      </c>
      <c r="H9" s="9" t="s">
        <v>401</v>
      </c>
      <c r="I9" s="9" t="s">
        <v>401</v>
      </c>
      <c r="J9" s="8" t="s">
        <v>410</v>
      </c>
      <c r="K9" s="8" t="s">
        <v>410</v>
      </c>
      <c r="L9" s="8" t="s">
        <v>432</v>
      </c>
    </row>
    <row r="10" ht="45" customHeight="1" spans="1:12">
      <c r="A10" s="9" t="s">
        <v>433</v>
      </c>
      <c r="B10" s="38" t="s">
        <v>434</v>
      </c>
      <c r="C10" s="39" t="s">
        <v>435</v>
      </c>
      <c r="D10" s="8" t="s">
        <v>436</v>
      </c>
      <c r="E10" s="8" t="s">
        <v>437</v>
      </c>
      <c r="F10" s="9" t="s">
        <v>416</v>
      </c>
      <c r="G10" s="9" t="s">
        <v>401</v>
      </c>
      <c r="H10" s="9" t="s">
        <v>401</v>
      </c>
      <c r="I10" s="9" t="s">
        <v>401</v>
      </c>
      <c r="J10" s="8" t="s">
        <v>438</v>
      </c>
      <c r="K10" s="8" t="s">
        <v>439</v>
      </c>
      <c r="L10" s="8" t="s">
        <v>440</v>
      </c>
    </row>
    <row r="11" ht="45" customHeight="1" spans="1:12">
      <c r="A11" s="9" t="s">
        <v>441</v>
      </c>
      <c r="B11" s="38" t="s">
        <v>434</v>
      </c>
      <c r="C11" s="39" t="s">
        <v>442</v>
      </c>
      <c r="D11" s="8" t="s">
        <v>443</v>
      </c>
      <c r="E11" s="8" t="s">
        <v>444</v>
      </c>
      <c r="F11" s="9" t="s">
        <v>416</v>
      </c>
      <c r="G11" s="9" t="s">
        <v>401</v>
      </c>
      <c r="H11" s="9" t="s">
        <v>401</v>
      </c>
      <c r="I11" s="9" t="s">
        <v>445</v>
      </c>
      <c r="J11" s="8" t="s">
        <v>446</v>
      </c>
      <c r="K11" s="8" t="s">
        <v>447</v>
      </c>
      <c r="L11" s="8" t="s">
        <v>448</v>
      </c>
    </row>
    <row r="12" ht="45" customHeight="1" spans="1:12">
      <c r="A12" s="9" t="s">
        <v>449</v>
      </c>
      <c r="B12" s="38" t="s">
        <v>434</v>
      </c>
      <c r="C12" s="39" t="s">
        <v>450</v>
      </c>
      <c r="D12" s="8" t="s">
        <v>451</v>
      </c>
      <c r="E12" s="8" t="s">
        <v>452</v>
      </c>
      <c r="F12" s="9" t="s">
        <v>400</v>
      </c>
      <c r="G12" s="9" t="s">
        <v>401</v>
      </c>
      <c r="H12" s="9" t="s">
        <v>401</v>
      </c>
      <c r="I12" s="9" t="s">
        <v>401</v>
      </c>
      <c r="J12" s="8" t="s">
        <v>453</v>
      </c>
      <c r="K12" s="8" t="s">
        <v>403</v>
      </c>
      <c r="L12" s="8" t="s">
        <v>454</v>
      </c>
    </row>
    <row r="13" ht="45" customHeight="1" spans="1:12">
      <c r="A13" s="9" t="s">
        <v>455</v>
      </c>
      <c r="B13" s="40" t="s">
        <v>456</v>
      </c>
      <c r="C13" s="41" t="s">
        <v>457</v>
      </c>
      <c r="D13" s="8" t="s">
        <v>458</v>
      </c>
      <c r="E13" s="8" t="s">
        <v>459</v>
      </c>
      <c r="F13" s="9" t="s">
        <v>460</v>
      </c>
      <c r="G13" s="9" t="s">
        <v>401</v>
      </c>
      <c r="H13" s="9" t="s">
        <v>401</v>
      </c>
      <c r="I13" s="9" t="s">
        <v>401</v>
      </c>
      <c r="J13" s="8" t="s">
        <v>461</v>
      </c>
      <c r="K13" s="8" t="s">
        <v>462</v>
      </c>
      <c r="L13" s="8" t="s">
        <v>418</v>
      </c>
    </row>
    <row r="14" ht="45" customHeight="1" spans="1:12">
      <c r="A14" s="9" t="s">
        <v>463</v>
      </c>
      <c r="B14" s="40" t="s">
        <v>456</v>
      </c>
      <c r="C14" s="41" t="s">
        <v>464</v>
      </c>
      <c r="D14" s="8" t="s">
        <v>465</v>
      </c>
      <c r="E14" s="8" t="s">
        <v>466</v>
      </c>
      <c r="F14" s="9" t="s">
        <v>416</v>
      </c>
      <c r="G14" s="9" t="s">
        <v>401</v>
      </c>
      <c r="H14" s="9" t="s">
        <v>401</v>
      </c>
      <c r="I14" s="9" t="s">
        <v>401</v>
      </c>
      <c r="J14" s="8" t="s">
        <v>467</v>
      </c>
      <c r="K14" s="8" t="s">
        <v>468</v>
      </c>
      <c r="L14" s="8" t="s">
        <v>469</v>
      </c>
    </row>
    <row r="15" ht="45" customHeight="1" spans="1:12">
      <c r="A15" s="9" t="s">
        <v>470</v>
      </c>
      <c r="B15" s="40" t="s">
        <v>456</v>
      </c>
      <c r="C15" s="41" t="s">
        <v>471</v>
      </c>
      <c r="D15" s="8" t="s">
        <v>472</v>
      </c>
      <c r="E15" s="8" t="s">
        <v>473</v>
      </c>
      <c r="F15" s="9" t="s">
        <v>416</v>
      </c>
      <c r="G15" s="9" t="s">
        <v>474</v>
      </c>
      <c r="H15" s="9" t="s">
        <v>475</v>
      </c>
      <c r="I15" s="9" t="s">
        <v>401</v>
      </c>
      <c r="J15" s="8" t="s">
        <v>476</v>
      </c>
      <c r="K15" s="8" t="s">
        <v>477</v>
      </c>
      <c r="L15" s="8" t="s">
        <v>478</v>
      </c>
    </row>
    <row r="16" ht="45" customHeight="1" spans="1:12">
      <c r="A16" s="9" t="s">
        <v>479</v>
      </c>
      <c r="B16" s="40" t="s">
        <v>456</v>
      </c>
      <c r="C16" s="41" t="s">
        <v>480</v>
      </c>
      <c r="D16" s="8" t="s">
        <v>481</v>
      </c>
      <c r="E16" s="8" t="s">
        <v>482</v>
      </c>
      <c r="F16" s="9" t="s">
        <v>416</v>
      </c>
      <c r="G16" s="9" t="s">
        <v>431</v>
      </c>
      <c r="H16" s="9" t="s">
        <v>475</v>
      </c>
      <c r="I16" s="9" t="s">
        <v>401</v>
      </c>
      <c r="J16" s="8" t="s">
        <v>483</v>
      </c>
      <c r="K16" s="8" t="s">
        <v>484</v>
      </c>
      <c r="L16" s="8" t="s">
        <v>485</v>
      </c>
    </row>
    <row r="17" ht="45" customHeight="1" spans="1:12">
      <c r="A17" s="9" t="s">
        <v>204</v>
      </c>
      <c r="B17" s="42" t="s">
        <v>486</v>
      </c>
      <c r="C17" s="43" t="s">
        <v>487</v>
      </c>
      <c r="D17" s="8" t="s">
        <v>488</v>
      </c>
      <c r="E17" s="8" t="s">
        <v>489</v>
      </c>
      <c r="F17" s="9" t="s">
        <v>490</v>
      </c>
      <c r="G17" s="9" t="s">
        <v>491</v>
      </c>
      <c r="H17" s="9" t="s">
        <v>401</v>
      </c>
      <c r="I17" s="9" t="s">
        <v>401</v>
      </c>
      <c r="J17" s="8" t="s">
        <v>492</v>
      </c>
      <c r="K17" s="8" t="s">
        <v>493</v>
      </c>
      <c r="L17" s="8" t="s">
        <v>494</v>
      </c>
    </row>
    <row r="18" ht="45" customHeight="1" spans="1:12">
      <c r="A18" s="9" t="s">
        <v>210</v>
      </c>
      <c r="B18" s="42" t="s">
        <v>486</v>
      </c>
      <c r="C18" s="43" t="s">
        <v>495</v>
      </c>
      <c r="D18" s="8" t="s">
        <v>496</v>
      </c>
      <c r="E18" s="8" t="s">
        <v>497</v>
      </c>
      <c r="F18" s="9" t="s">
        <v>400</v>
      </c>
      <c r="G18" s="9" t="s">
        <v>431</v>
      </c>
      <c r="H18" s="9" t="s">
        <v>401</v>
      </c>
      <c r="I18" s="9" t="s">
        <v>401</v>
      </c>
      <c r="J18" s="8" t="s">
        <v>498</v>
      </c>
      <c r="K18" s="8" t="s">
        <v>499</v>
      </c>
      <c r="L18" s="8" t="s">
        <v>500</v>
      </c>
    </row>
    <row r="19" ht="45" customHeight="1" spans="1:12">
      <c r="A19" s="9" t="s">
        <v>501</v>
      </c>
      <c r="B19" s="36" t="s">
        <v>502</v>
      </c>
      <c r="C19" s="44" t="s">
        <v>503</v>
      </c>
      <c r="D19" s="8" t="s">
        <v>504</v>
      </c>
      <c r="E19" s="8" t="s">
        <v>505</v>
      </c>
      <c r="F19" s="9" t="s">
        <v>400</v>
      </c>
      <c r="G19" s="9" t="s">
        <v>401</v>
      </c>
      <c r="H19" s="9" t="s">
        <v>401</v>
      </c>
      <c r="I19" s="9" t="s">
        <v>401</v>
      </c>
      <c r="J19" s="8" t="s">
        <v>506</v>
      </c>
      <c r="K19" s="8" t="s">
        <v>507</v>
      </c>
      <c r="L19" s="8" t="s">
        <v>508</v>
      </c>
    </row>
    <row r="20" ht="45" customHeight="1" spans="1:12">
      <c r="A20" s="9" t="s">
        <v>509</v>
      </c>
      <c r="B20" s="36" t="s">
        <v>502</v>
      </c>
      <c r="C20" s="44" t="s">
        <v>510</v>
      </c>
      <c r="D20" s="8" t="s">
        <v>511</v>
      </c>
      <c r="E20" s="8" t="s">
        <v>512</v>
      </c>
      <c r="F20" s="9" t="s">
        <v>513</v>
      </c>
      <c r="G20" s="9" t="s">
        <v>401</v>
      </c>
      <c r="H20" s="9" t="s">
        <v>401</v>
      </c>
      <c r="I20" s="9" t="s">
        <v>401</v>
      </c>
      <c r="J20" s="8" t="s">
        <v>514</v>
      </c>
      <c r="K20" s="8" t="s">
        <v>507</v>
      </c>
      <c r="L20" s="8" t="s">
        <v>515</v>
      </c>
    </row>
    <row r="21" ht="45" customHeight="1" spans="1:12">
      <c r="A21" s="9" t="s">
        <v>516</v>
      </c>
      <c r="B21" s="36" t="s">
        <v>502</v>
      </c>
      <c r="C21" s="44" t="s">
        <v>517</v>
      </c>
      <c r="D21" s="8" t="s">
        <v>518</v>
      </c>
      <c r="E21" s="8" t="s">
        <v>519</v>
      </c>
      <c r="F21" s="9" t="s">
        <v>520</v>
      </c>
      <c r="G21" s="9" t="s">
        <v>431</v>
      </c>
      <c r="H21" s="9" t="s">
        <v>401</v>
      </c>
      <c r="I21" s="9" t="s">
        <v>401</v>
      </c>
      <c r="J21" s="8" t="s">
        <v>409</v>
      </c>
      <c r="K21" s="8" t="s">
        <v>521</v>
      </c>
      <c r="L21" s="8" t="s">
        <v>522</v>
      </c>
    </row>
    <row r="22" ht="45" customHeight="1" spans="1:12">
      <c r="A22" s="9" t="s">
        <v>523</v>
      </c>
      <c r="B22" s="36" t="s">
        <v>502</v>
      </c>
      <c r="C22" s="44" t="s">
        <v>524</v>
      </c>
      <c r="D22" s="8" t="s">
        <v>525</v>
      </c>
      <c r="E22" s="8" t="s">
        <v>526</v>
      </c>
      <c r="F22" s="9" t="s">
        <v>527</v>
      </c>
      <c r="G22" s="9" t="s">
        <v>431</v>
      </c>
      <c r="H22" s="9" t="s">
        <v>401</v>
      </c>
      <c r="I22" s="9" t="s">
        <v>401</v>
      </c>
      <c r="J22" s="8" t="s">
        <v>528</v>
      </c>
      <c r="K22" s="8" t="s">
        <v>529</v>
      </c>
      <c r="L22" s="8" t="s">
        <v>530</v>
      </c>
    </row>
    <row r="23" ht="45" customHeight="1" spans="1:12">
      <c r="A23" s="9" t="s">
        <v>531</v>
      </c>
      <c r="B23" s="36" t="s">
        <v>502</v>
      </c>
      <c r="C23" s="44" t="s">
        <v>532</v>
      </c>
      <c r="D23" s="8" t="s">
        <v>533</v>
      </c>
      <c r="E23" s="8" t="s">
        <v>534</v>
      </c>
      <c r="F23" s="9" t="s">
        <v>490</v>
      </c>
      <c r="G23" s="9" t="s">
        <v>474</v>
      </c>
      <c r="H23" s="9" t="s">
        <v>535</v>
      </c>
      <c r="I23" s="9" t="s">
        <v>401</v>
      </c>
      <c r="J23" s="8" t="s">
        <v>409</v>
      </c>
      <c r="K23" s="8" t="s">
        <v>521</v>
      </c>
      <c r="L23" s="8" t="s">
        <v>536</v>
      </c>
    </row>
    <row r="24" ht="45" customHeight="1" spans="1:12">
      <c r="A24" s="9" t="s">
        <v>537</v>
      </c>
      <c r="B24" s="36" t="s">
        <v>502</v>
      </c>
      <c r="C24" s="44" t="s">
        <v>538</v>
      </c>
      <c r="D24" s="8" t="s">
        <v>539</v>
      </c>
      <c r="E24" s="8" t="s">
        <v>540</v>
      </c>
      <c r="F24" s="9" t="s">
        <v>541</v>
      </c>
      <c r="G24" s="9" t="s">
        <v>401</v>
      </c>
      <c r="H24" s="9" t="s">
        <v>401</v>
      </c>
      <c r="I24" s="9" t="s">
        <v>401</v>
      </c>
      <c r="J24" s="8" t="s">
        <v>461</v>
      </c>
      <c r="K24" s="8" t="s">
        <v>542</v>
      </c>
      <c r="L24" s="8" t="s">
        <v>543</v>
      </c>
    </row>
    <row r="25" ht="45" customHeight="1" spans="1:12">
      <c r="A25" s="9" t="s">
        <v>544</v>
      </c>
      <c r="B25" s="45" t="s">
        <v>545</v>
      </c>
      <c r="C25" s="46" t="s">
        <v>546</v>
      </c>
      <c r="D25" s="8" t="s">
        <v>547</v>
      </c>
      <c r="E25" s="8" t="s">
        <v>548</v>
      </c>
      <c r="F25" s="9" t="s">
        <v>400</v>
      </c>
      <c r="G25" s="9" t="s">
        <v>431</v>
      </c>
      <c r="H25" s="9" t="s">
        <v>401</v>
      </c>
      <c r="I25" s="9" t="s">
        <v>401</v>
      </c>
      <c r="J25" s="8" t="s">
        <v>549</v>
      </c>
      <c r="K25" s="8" t="s">
        <v>550</v>
      </c>
      <c r="L25" s="8" t="s">
        <v>551</v>
      </c>
    </row>
    <row r="26" ht="45" customHeight="1" spans="1:12">
      <c r="A26" s="9" t="s">
        <v>552</v>
      </c>
      <c r="B26" s="45" t="s">
        <v>545</v>
      </c>
      <c r="C26" s="46" t="s">
        <v>553</v>
      </c>
      <c r="D26" s="8" t="s">
        <v>554</v>
      </c>
      <c r="E26" s="8" t="s">
        <v>555</v>
      </c>
      <c r="F26" s="9" t="s">
        <v>416</v>
      </c>
      <c r="G26" s="9" t="s">
        <v>431</v>
      </c>
      <c r="H26" s="9" t="s">
        <v>401</v>
      </c>
      <c r="I26" s="9" t="s">
        <v>401</v>
      </c>
      <c r="J26" s="8" t="s">
        <v>549</v>
      </c>
      <c r="K26" s="8" t="s">
        <v>403</v>
      </c>
      <c r="L26" s="8" t="s">
        <v>556</v>
      </c>
    </row>
    <row r="27" ht="45" customHeight="1" spans="1:12">
      <c r="A27" s="9" t="s">
        <v>557</v>
      </c>
      <c r="B27" s="45" t="s">
        <v>545</v>
      </c>
      <c r="C27" s="46" t="s">
        <v>558</v>
      </c>
      <c r="D27" s="8" t="s">
        <v>559</v>
      </c>
      <c r="E27" s="8" t="s">
        <v>560</v>
      </c>
      <c r="F27" s="9" t="s">
        <v>400</v>
      </c>
      <c r="G27" s="9" t="s">
        <v>27</v>
      </c>
      <c r="H27" s="9" t="s">
        <v>561</v>
      </c>
      <c r="I27" s="9" t="s">
        <v>401</v>
      </c>
      <c r="J27" s="8" t="s">
        <v>562</v>
      </c>
      <c r="K27" s="8" t="s">
        <v>410</v>
      </c>
      <c r="L27" s="8" t="s">
        <v>563</v>
      </c>
    </row>
    <row r="28" ht="45" customHeight="1" spans="1:12">
      <c r="A28" s="9" t="s">
        <v>564</v>
      </c>
      <c r="B28" s="45" t="s">
        <v>545</v>
      </c>
      <c r="C28" s="46" t="s">
        <v>565</v>
      </c>
      <c r="D28" s="8" t="s">
        <v>566</v>
      </c>
      <c r="E28" s="8" t="s">
        <v>567</v>
      </c>
      <c r="F28" s="9" t="s">
        <v>520</v>
      </c>
      <c r="G28" s="9" t="s">
        <v>474</v>
      </c>
      <c r="H28" s="9" t="s">
        <v>535</v>
      </c>
      <c r="I28" s="9" t="s">
        <v>401</v>
      </c>
      <c r="J28" s="8" t="s">
        <v>410</v>
      </c>
      <c r="K28" s="8" t="s">
        <v>410</v>
      </c>
      <c r="L28" s="8" t="s">
        <v>568</v>
      </c>
    </row>
    <row r="29" ht="45" customHeight="1" spans="1:12">
      <c r="A29" s="9" t="s">
        <v>569</v>
      </c>
      <c r="B29" s="45" t="s">
        <v>545</v>
      </c>
      <c r="C29" s="46" t="s">
        <v>570</v>
      </c>
      <c r="D29" s="8" t="s">
        <v>571</v>
      </c>
      <c r="E29" s="8" t="s">
        <v>572</v>
      </c>
      <c r="F29" s="9" t="s">
        <v>416</v>
      </c>
      <c r="G29" s="9" t="s">
        <v>431</v>
      </c>
      <c r="H29" s="9" t="s">
        <v>475</v>
      </c>
      <c r="I29" s="9" t="s">
        <v>401</v>
      </c>
      <c r="J29" s="8" t="s">
        <v>573</v>
      </c>
      <c r="K29" s="8" t="s">
        <v>521</v>
      </c>
      <c r="L29" s="8" t="s">
        <v>574</v>
      </c>
    </row>
    <row r="30" ht="45" customHeight="1" spans="1:12">
      <c r="A30" s="9" t="s">
        <v>575</v>
      </c>
      <c r="B30" s="47" t="s">
        <v>576</v>
      </c>
      <c r="C30" s="48" t="s">
        <v>577</v>
      </c>
      <c r="D30" s="8" t="s">
        <v>578</v>
      </c>
      <c r="E30" s="8" t="s">
        <v>579</v>
      </c>
      <c r="F30" s="9" t="s">
        <v>416</v>
      </c>
      <c r="G30" s="9" t="s">
        <v>431</v>
      </c>
      <c r="H30" s="9" t="s">
        <v>401</v>
      </c>
      <c r="I30" s="9" t="s">
        <v>401</v>
      </c>
      <c r="J30" s="8" t="s">
        <v>580</v>
      </c>
      <c r="K30" s="8" t="s">
        <v>581</v>
      </c>
      <c r="L30" s="8" t="s">
        <v>582</v>
      </c>
    </row>
    <row r="31" ht="45" customHeight="1" spans="1:12">
      <c r="A31" s="9" t="s">
        <v>583</v>
      </c>
      <c r="B31" s="47" t="s">
        <v>576</v>
      </c>
      <c r="C31" s="48" t="s">
        <v>584</v>
      </c>
      <c r="D31" s="8" t="s">
        <v>585</v>
      </c>
      <c r="E31" s="8" t="s">
        <v>586</v>
      </c>
      <c r="F31" s="9" t="s">
        <v>587</v>
      </c>
      <c r="G31" s="9" t="s">
        <v>31</v>
      </c>
      <c r="H31" s="9" t="s">
        <v>588</v>
      </c>
      <c r="I31" s="9" t="s">
        <v>588</v>
      </c>
      <c r="J31" s="8" t="s">
        <v>589</v>
      </c>
      <c r="K31" s="8" t="s">
        <v>590</v>
      </c>
      <c r="L31" s="8" t="s">
        <v>591</v>
      </c>
    </row>
    <row r="32" ht="45" customHeight="1" spans="1:12">
      <c r="A32" s="9" t="s">
        <v>592</v>
      </c>
      <c r="B32" s="40" t="s">
        <v>593</v>
      </c>
      <c r="C32" s="41" t="s">
        <v>594</v>
      </c>
      <c r="D32" s="8" t="s">
        <v>595</v>
      </c>
      <c r="E32" s="8" t="s">
        <v>596</v>
      </c>
      <c r="F32" s="9" t="s">
        <v>416</v>
      </c>
      <c r="G32" s="9" t="s">
        <v>401</v>
      </c>
      <c r="H32" s="9" t="s">
        <v>401</v>
      </c>
      <c r="I32" s="9" t="s">
        <v>401</v>
      </c>
      <c r="J32" s="8" t="s">
        <v>597</v>
      </c>
      <c r="K32" s="8" t="s">
        <v>598</v>
      </c>
      <c r="L32" s="8" t="s">
        <v>599</v>
      </c>
    </row>
    <row r="33" ht="45" customHeight="1" spans="1:12">
      <c r="A33" s="9" t="s">
        <v>600</v>
      </c>
      <c r="B33" s="40" t="s">
        <v>593</v>
      </c>
      <c r="C33" s="41" t="s">
        <v>601</v>
      </c>
      <c r="D33" s="8" t="s">
        <v>602</v>
      </c>
      <c r="E33" s="8" t="s">
        <v>603</v>
      </c>
      <c r="F33" s="9" t="s">
        <v>604</v>
      </c>
      <c r="G33" s="9" t="s">
        <v>401</v>
      </c>
      <c r="H33" s="9" t="s">
        <v>401</v>
      </c>
      <c r="I33" s="9" t="s">
        <v>401</v>
      </c>
      <c r="J33" s="8" t="s">
        <v>597</v>
      </c>
      <c r="K33" s="8" t="s">
        <v>605</v>
      </c>
      <c r="L33" s="8" t="s">
        <v>606</v>
      </c>
    </row>
    <row r="34" ht="45" customHeight="1" spans="1:12">
      <c r="A34" s="9" t="s">
        <v>607</v>
      </c>
      <c r="B34" s="40" t="s">
        <v>608</v>
      </c>
      <c r="C34" s="41" t="s">
        <v>609</v>
      </c>
      <c r="D34" s="8" t="s">
        <v>610</v>
      </c>
      <c r="E34" s="8" t="s">
        <v>611</v>
      </c>
      <c r="F34" s="9" t="s">
        <v>612</v>
      </c>
      <c r="G34" s="9" t="s">
        <v>431</v>
      </c>
      <c r="H34" s="9" t="s">
        <v>401</v>
      </c>
      <c r="I34" s="9" t="s">
        <v>401</v>
      </c>
      <c r="J34" s="8" t="s">
        <v>613</v>
      </c>
      <c r="K34" s="8" t="s">
        <v>614</v>
      </c>
      <c r="L34" s="8" t="s">
        <v>615</v>
      </c>
    </row>
    <row r="35" ht="45" customHeight="1" spans="1:12">
      <c r="A35" s="9" t="s">
        <v>616</v>
      </c>
      <c r="B35" s="47" t="s">
        <v>617</v>
      </c>
      <c r="C35" s="48" t="s">
        <v>618</v>
      </c>
      <c r="D35" s="8" t="s">
        <v>619</v>
      </c>
      <c r="E35" s="8" t="s">
        <v>620</v>
      </c>
      <c r="F35" s="9" t="s">
        <v>416</v>
      </c>
      <c r="G35" s="9" t="s">
        <v>401</v>
      </c>
      <c r="H35" s="9" t="s">
        <v>401</v>
      </c>
      <c r="I35" s="9" t="s">
        <v>401</v>
      </c>
      <c r="J35" s="8" t="s">
        <v>621</v>
      </c>
      <c r="K35" s="8" t="s">
        <v>598</v>
      </c>
      <c r="L35" s="8" t="s">
        <v>622</v>
      </c>
    </row>
    <row r="36" ht="45" customHeight="1" spans="1:12">
      <c r="A36" s="9" t="s">
        <v>623</v>
      </c>
      <c r="B36" s="47" t="s">
        <v>617</v>
      </c>
      <c r="C36" s="48" t="s">
        <v>624</v>
      </c>
      <c r="D36" s="8" t="s">
        <v>625</v>
      </c>
      <c r="E36" s="8" t="s">
        <v>626</v>
      </c>
      <c r="F36" s="9" t="s">
        <v>416</v>
      </c>
      <c r="G36" s="9" t="s">
        <v>401</v>
      </c>
      <c r="H36" s="9" t="s">
        <v>401</v>
      </c>
      <c r="I36" s="9" t="s">
        <v>401</v>
      </c>
      <c r="J36" s="8" t="s">
        <v>627</v>
      </c>
      <c r="K36" s="8" t="s">
        <v>447</v>
      </c>
      <c r="L36" s="8" t="s">
        <v>628</v>
      </c>
    </row>
    <row r="37" ht="45" customHeight="1" spans="1:12">
      <c r="A37" s="9" t="s">
        <v>629</v>
      </c>
      <c r="B37" s="37" t="s">
        <v>630</v>
      </c>
      <c r="C37" s="49" t="s">
        <v>631</v>
      </c>
      <c r="D37" s="8" t="s">
        <v>632</v>
      </c>
      <c r="E37" s="8" t="s">
        <v>633</v>
      </c>
      <c r="F37" s="9" t="s">
        <v>634</v>
      </c>
      <c r="G37" s="9" t="s">
        <v>401</v>
      </c>
      <c r="H37" s="9" t="s">
        <v>401</v>
      </c>
      <c r="I37" s="9" t="s">
        <v>401</v>
      </c>
      <c r="J37" s="8" t="s">
        <v>635</v>
      </c>
      <c r="K37" s="8" t="s">
        <v>636</v>
      </c>
      <c r="L37" s="8" t="s">
        <v>637</v>
      </c>
    </row>
    <row r="38" spans="1:1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</sheetData>
  <mergeCells count="3">
    <mergeCell ref="A1:L1"/>
    <mergeCell ref="A2:L2"/>
    <mergeCell ref="A3:L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workbookViewId="0">
      <selection activeCell="A1" sqref="A1:J1"/>
    </sheetView>
  </sheetViews>
  <sheetFormatPr defaultColWidth="9" defaultRowHeight="14.25"/>
  <cols>
    <col min="1" max="1" width="10" customWidth="1"/>
    <col min="2" max="2" width="15" customWidth="1"/>
    <col min="3" max="3" width="23" customWidth="1"/>
    <col min="4" max="4" width="34" customWidth="1"/>
    <col min="5" max="5" width="38" customWidth="1"/>
    <col min="6" max="6" width="39" customWidth="1"/>
    <col min="7" max="8" width="20" customWidth="1"/>
    <col min="9" max="9" width="14" customWidth="1"/>
    <col min="10" max="10" width="29" customWidth="1"/>
  </cols>
  <sheetData>
    <row r="1" ht="30" customHeight="1" spans="1:10">
      <c r="A1" s="1" t="s">
        <v>638</v>
      </c>
      <c r="B1" s="1" t="s">
        <v>638</v>
      </c>
      <c r="C1" s="1" t="s">
        <v>638</v>
      </c>
      <c r="D1" s="1" t="s">
        <v>638</v>
      </c>
      <c r="E1" s="1" t="s">
        <v>638</v>
      </c>
      <c r="F1" s="1" t="s">
        <v>638</v>
      </c>
      <c r="G1" s="1" t="s">
        <v>638</v>
      </c>
      <c r="H1" s="1" t="s">
        <v>638</v>
      </c>
      <c r="I1" s="1" t="s">
        <v>638</v>
      </c>
      <c r="J1" s="1" t="s">
        <v>638</v>
      </c>
    </row>
    <row r="2" ht="24" customHeight="1" spans="1:10">
      <c r="A2" s="2" t="s">
        <v>639</v>
      </c>
      <c r="B2" s="2" t="s">
        <v>639</v>
      </c>
      <c r="C2" s="2" t="s">
        <v>639</v>
      </c>
      <c r="D2" s="2" t="s">
        <v>639</v>
      </c>
      <c r="E2" s="2" t="s">
        <v>639</v>
      </c>
      <c r="F2" s="2" t="s">
        <v>639</v>
      </c>
      <c r="G2" s="2" t="s">
        <v>639</v>
      </c>
      <c r="H2" s="2" t="s">
        <v>639</v>
      </c>
      <c r="I2" s="2" t="s">
        <v>639</v>
      </c>
      <c r="J2" s="2" t="s">
        <v>639</v>
      </c>
    </row>
    <row r="3" ht="28" customHeight="1" spans="1:10">
      <c r="A3" s="33" t="s">
        <v>640</v>
      </c>
      <c r="B3" s="34" t="s">
        <v>640</v>
      </c>
      <c r="C3" s="34" t="s">
        <v>640</v>
      </c>
      <c r="D3" s="34" t="s">
        <v>640</v>
      </c>
      <c r="E3" s="34" t="s">
        <v>640</v>
      </c>
      <c r="F3" s="34" t="s">
        <v>640</v>
      </c>
      <c r="G3" s="34" t="s">
        <v>640</v>
      </c>
      <c r="H3" s="34" t="s">
        <v>640</v>
      </c>
      <c r="I3" s="34" t="s">
        <v>640</v>
      </c>
      <c r="J3" s="35" t="s">
        <v>640</v>
      </c>
    </row>
    <row r="4" spans="1:10">
      <c r="A4" s="6" t="s">
        <v>641</v>
      </c>
      <c r="B4" s="6" t="s">
        <v>642</v>
      </c>
      <c r="C4" s="6" t="s">
        <v>643</v>
      </c>
      <c r="D4" s="6" t="s">
        <v>644</v>
      </c>
      <c r="E4" s="6" t="s">
        <v>645</v>
      </c>
      <c r="F4" s="6" t="s">
        <v>646</v>
      </c>
      <c r="G4" s="6" t="s">
        <v>647</v>
      </c>
      <c r="H4" s="6" t="s">
        <v>394</v>
      </c>
      <c r="I4" s="6" t="s">
        <v>648</v>
      </c>
      <c r="J4" s="6" t="s">
        <v>395</v>
      </c>
    </row>
    <row r="5" ht="54" customHeight="1" spans="1:10">
      <c r="A5" s="9" t="s">
        <v>629</v>
      </c>
      <c r="B5" s="8" t="s">
        <v>649</v>
      </c>
      <c r="C5" s="8" t="s">
        <v>650</v>
      </c>
      <c r="D5" s="36" t="s">
        <v>651</v>
      </c>
      <c r="E5" s="37" t="s">
        <v>652</v>
      </c>
      <c r="F5" s="8" t="s">
        <v>653</v>
      </c>
      <c r="G5" s="9" t="s">
        <v>654</v>
      </c>
      <c r="H5" s="9" t="s">
        <v>655</v>
      </c>
      <c r="I5" s="9" t="s">
        <v>656</v>
      </c>
      <c r="J5" s="9" t="s">
        <v>657</v>
      </c>
    </row>
    <row r="6" ht="54" customHeight="1" spans="1:10">
      <c r="A6" s="9" t="s">
        <v>658</v>
      </c>
      <c r="B6" s="8" t="s">
        <v>649</v>
      </c>
      <c r="C6" s="8" t="s">
        <v>659</v>
      </c>
      <c r="D6" s="36" t="s">
        <v>660</v>
      </c>
      <c r="E6" s="37" t="s">
        <v>661</v>
      </c>
      <c r="F6" s="8" t="s">
        <v>662</v>
      </c>
      <c r="G6" s="9" t="s">
        <v>663</v>
      </c>
      <c r="H6" s="9" t="s">
        <v>664</v>
      </c>
      <c r="I6" s="9" t="s">
        <v>665</v>
      </c>
      <c r="J6" s="9" t="s">
        <v>666</v>
      </c>
    </row>
    <row r="7" ht="54" customHeight="1" spans="1:10">
      <c r="A7" s="9" t="s">
        <v>667</v>
      </c>
      <c r="B7" s="8" t="s">
        <v>668</v>
      </c>
      <c r="C7" s="8" t="s">
        <v>669</v>
      </c>
      <c r="D7" s="36" t="s">
        <v>670</v>
      </c>
      <c r="E7" s="37" t="s">
        <v>671</v>
      </c>
      <c r="F7" s="8" t="s">
        <v>672</v>
      </c>
      <c r="G7" s="9" t="s">
        <v>673</v>
      </c>
      <c r="H7" s="9" t="s">
        <v>403</v>
      </c>
      <c r="I7" s="9" t="s">
        <v>656</v>
      </c>
      <c r="J7" s="9" t="s">
        <v>674</v>
      </c>
    </row>
    <row r="8" ht="54" customHeight="1" spans="1:10">
      <c r="A8" s="9" t="s">
        <v>675</v>
      </c>
      <c r="B8" s="8" t="s">
        <v>676</v>
      </c>
      <c r="C8" s="8" t="s">
        <v>677</v>
      </c>
      <c r="D8" s="36" t="s">
        <v>678</v>
      </c>
      <c r="E8" s="37" t="s">
        <v>679</v>
      </c>
      <c r="F8" s="8" t="s">
        <v>680</v>
      </c>
      <c r="G8" s="9" t="s">
        <v>681</v>
      </c>
      <c r="H8" s="9" t="s">
        <v>682</v>
      </c>
      <c r="I8" s="9" t="s">
        <v>656</v>
      </c>
      <c r="J8" s="9" t="s">
        <v>683</v>
      </c>
    </row>
    <row r="9" ht="54" customHeight="1" spans="1:10">
      <c r="A9" s="9" t="s">
        <v>684</v>
      </c>
      <c r="B9" s="8" t="s">
        <v>502</v>
      </c>
      <c r="C9" s="8" t="s">
        <v>685</v>
      </c>
      <c r="D9" s="36" t="s">
        <v>686</v>
      </c>
      <c r="E9" s="37" t="s">
        <v>687</v>
      </c>
      <c r="F9" s="8" t="s">
        <v>688</v>
      </c>
      <c r="G9" s="9" t="s">
        <v>689</v>
      </c>
      <c r="H9" s="9" t="s">
        <v>507</v>
      </c>
      <c r="I9" s="9" t="s">
        <v>690</v>
      </c>
      <c r="J9" s="9" t="s">
        <v>691</v>
      </c>
    </row>
    <row r="10" ht="54" customHeight="1" spans="1:10">
      <c r="A10" s="9" t="s">
        <v>692</v>
      </c>
      <c r="B10" s="8" t="s">
        <v>502</v>
      </c>
      <c r="C10" s="8" t="s">
        <v>538</v>
      </c>
      <c r="D10" s="36" t="s">
        <v>693</v>
      </c>
      <c r="E10" s="37" t="s">
        <v>694</v>
      </c>
      <c r="F10" s="8" t="s">
        <v>695</v>
      </c>
      <c r="G10" s="9" t="s">
        <v>663</v>
      </c>
      <c r="H10" s="9" t="s">
        <v>542</v>
      </c>
      <c r="I10" s="9" t="s">
        <v>696</v>
      </c>
      <c r="J10" s="9" t="s">
        <v>697</v>
      </c>
    </row>
    <row r="11" ht="54" customHeight="1" spans="1:10">
      <c r="A11" s="9" t="s">
        <v>698</v>
      </c>
      <c r="B11" s="8" t="s">
        <v>699</v>
      </c>
      <c r="C11" s="8" t="s">
        <v>546</v>
      </c>
      <c r="D11" s="36" t="s">
        <v>700</v>
      </c>
      <c r="E11" s="37" t="s">
        <v>701</v>
      </c>
      <c r="F11" s="8" t="s">
        <v>702</v>
      </c>
      <c r="G11" s="9" t="s">
        <v>673</v>
      </c>
      <c r="H11" s="9" t="s">
        <v>550</v>
      </c>
      <c r="I11" s="9" t="s">
        <v>656</v>
      </c>
      <c r="J11" s="9" t="s">
        <v>703</v>
      </c>
    </row>
    <row r="12" ht="54" customHeight="1" spans="1:10">
      <c r="A12" s="9" t="s">
        <v>704</v>
      </c>
      <c r="B12" s="8" t="s">
        <v>699</v>
      </c>
      <c r="C12" s="8" t="s">
        <v>705</v>
      </c>
      <c r="D12" s="36" t="s">
        <v>706</v>
      </c>
      <c r="E12" s="37" t="s">
        <v>707</v>
      </c>
      <c r="F12" s="8" t="s">
        <v>708</v>
      </c>
      <c r="G12" s="9" t="s">
        <v>709</v>
      </c>
      <c r="H12" s="9" t="s">
        <v>403</v>
      </c>
      <c r="I12" s="9" t="s">
        <v>31</v>
      </c>
      <c r="J12" s="9" t="s">
        <v>710</v>
      </c>
    </row>
    <row r="13" ht="54" customHeight="1" spans="1:10">
      <c r="A13" s="9" t="s">
        <v>711</v>
      </c>
      <c r="B13" s="8" t="s">
        <v>712</v>
      </c>
      <c r="C13" s="8" t="s">
        <v>713</v>
      </c>
      <c r="D13" s="36" t="s">
        <v>714</v>
      </c>
      <c r="E13" s="37" t="s">
        <v>715</v>
      </c>
      <c r="F13" s="8" t="s">
        <v>716</v>
      </c>
      <c r="G13" s="9" t="s">
        <v>717</v>
      </c>
      <c r="H13" s="9" t="s">
        <v>590</v>
      </c>
      <c r="I13" s="9" t="s">
        <v>718</v>
      </c>
      <c r="J13" s="9" t="s">
        <v>719</v>
      </c>
    </row>
    <row r="14" ht="54" customHeight="1" spans="1:10">
      <c r="A14" s="9" t="s">
        <v>720</v>
      </c>
      <c r="B14" s="8" t="s">
        <v>721</v>
      </c>
      <c r="C14" s="8" t="s">
        <v>722</v>
      </c>
      <c r="D14" s="36" t="s">
        <v>723</v>
      </c>
      <c r="E14" s="37" t="s">
        <v>724</v>
      </c>
      <c r="F14" s="8" t="s">
        <v>725</v>
      </c>
      <c r="G14" s="9" t="s">
        <v>726</v>
      </c>
      <c r="H14" s="9" t="s">
        <v>727</v>
      </c>
      <c r="I14" s="9" t="s">
        <v>656</v>
      </c>
      <c r="J14" s="9" t="s">
        <v>728</v>
      </c>
    </row>
    <row r="15" ht="54" customHeight="1" spans="1:10">
      <c r="A15" s="9" t="s">
        <v>729</v>
      </c>
      <c r="B15" s="8" t="s">
        <v>730</v>
      </c>
      <c r="C15" s="8" t="s">
        <v>731</v>
      </c>
      <c r="D15" s="36" t="s">
        <v>732</v>
      </c>
      <c r="E15" s="37" t="s">
        <v>733</v>
      </c>
      <c r="F15" s="8" t="s">
        <v>734</v>
      </c>
      <c r="G15" s="9" t="s">
        <v>735</v>
      </c>
      <c r="H15" s="9" t="s">
        <v>736</v>
      </c>
      <c r="I15" s="9" t="s">
        <v>31</v>
      </c>
      <c r="J15" s="9" t="s">
        <v>737</v>
      </c>
    </row>
    <row r="16" ht="54" customHeight="1" spans="1:10">
      <c r="A16" s="9" t="s">
        <v>738</v>
      </c>
      <c r="B16" s="8" t="s">
        <v>608</v>
      </c>
      <c r="C16" s="8" t="s">
        <v>739</v>
      </c>
      <c r="D16" s="36" t="s">
        <v>740</v>
      </c>
      <c r="E16" s="37" t="s">
        <v>741</v>
      </c>
      <c r="F16" s="8" t="s">
        <v>742</v>
      </c>
      <c r="G16" s="9" t="s">
        <v>743</v>
      </c>
      <c r="H16" s="9" t="s">
        <v>744</v>
      </c>
      <c r="I16" s="9" t="s">
        <v>31</v>
      </c>
      <c r="J16" s="9" t="s">
        <v>745</v>
      </c>
    </row>
    <row r="17" ht="54" customHeight="1" spans="1:10">
      <c r="A17" s="9" t="s">
        <v>746</v>
      </c>
      <c r="B17" s="8" t="s">
        <v>747</v>
      </c>
      <c r="C17" s="8" t="s">
        <v>748</v>
      </c>
      <c r="D17" s="36" t="s">
        <v>749</v>
      </c>
      <c r="E17" s="37" t="s">
        <v>750</v>
      </c>
      <c r="F17" s="8" t="s">
        <v>751</v>
      </c>
      <c r="G17" s="9" t="s">
        <v>447</v>
      </c>
      <c r="H17" s="9" t="s">
        <v>752</v>
      </c>
      <c r="I17" s="9" t="s">
        <v>753</v>
      </c>
      <c r="J17" s="9" t="s">
        <v>754</v>
      </c>
    </row>
    <row r="18" ht="54" customHeight="1" spans="1:10">
      <c r="A18" s="9" t="s">
        <v>755</v>
      </c>
      <c r="B18" s="8" t="s">
        <v>756</v>
      </c>
      <c r="C18" s="8" t="s">
        <v>757</v>
      </c>
      <c r="D18" s="36" t="s">
        <v>758</v>
      </c>
      <c r="E18" s="37" t="s">
        <v>759</v>
      </c>
      <c r="F18" s="8" t="s">
        <v>760</v>
      </c>
      <c r="G18" s="9" t="s">
        <v>761</v>
      </c>
      <c r="H18" s="9" t="s">
        <v>727</v>
      </c>
      <c r="I18" s="9" t="s">
        <v>718</v>
      </c>
      <c r="J18" s="9" t="s">
        <v>762</v>
      </c>
    </row>
    <row r="19" spans="1:10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>
      <c r="A20" s="10"/>
      <c r="B20" s="10"/>
      <c r="C20" s="10"/>
      <c r="D20" s="10"/>
      <c r="E20" s="10"/>
      <c r="F20" s="10"/>
      <c r="G20" s="10"/>
      <c r="H20" s="10"/>
      <c r="I20" s="10"/>
      <c r="J20" s="10"/>
    </row>
  </sheetData>
  <mergeCells count="3">
    <mergeCell ref="A1:J1"/>
    <mergeCell ref="A2:J2"/>
    <mergeCell ref="A3:J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showGridLines="0" workbookViewId="0">
      <selection activeCell="A1" sqref="A1:J1"/>
    </sheetView>
  </sheetViews>
  <sheetFormatPr defaultColWidth="9" defaultRowHeight="14.25"/>
  <cols>
    <col min="1" max="1" width="23" customWidth="1"/>
    <col min="2" max="2" width="29" customWidth="1"/>
    <col min="3" max="3" width="31" customWidth="1"/>
    <col min="4" max="6" width="22" customWidth="1"/>
    <col min="7" max="7" width="20" customWidth="1"/>
    <col min="8" max="8" width="24" customWidth="1"/>
    <col min="9" max="9" width="36" customWidth="1"/>
    <col min="10" max="10" width="34" customWidth="1"/>
  </cols>
  <sheetData>
    <row r="1" ht="30" customHeight="1" spans="1:10">
      <c r="A1" s="1" t="s">
        <v>763</v>
      </c>
      <c r="B1" s="1" t="s">
        <v>763</v>
      </c>
      <c r="C1" s="1" t="s">
        <v>763</v>
      </c>
      <c r="D1" s="1" t="s">
        <v>763</v>
      </c>
      <c r="E1" s="1" t="s">
        <v>763</v>
      </c>
      <c r="F1" s="1" t="s">
        <v>763</v>
      </c>
      <c r="G1" s="1" t="s">
        <v>763</v>
      </c>
      <c r="H1" s="1" t="s">
        <v>763</v>
      </c>
      <c r="I1" s="1" t="s">
        <v>763</v>
      </c>
      <c r="J1" s="1" t="s">
        <v>763</v>
      </c>
    </row>
    <row r="2" ht="24" customHeight="1" spans="1:10">
      <c r="A2" s="2" t="s">
        <v>764</v>
      </c>
      <c r="B2" s="2" t="s">
        <v>764</v>
      </c>
      <c r="C2" s="2" t="s">
        <v>764</v>
      </c>
      <c r="D2" s="2" t="s">
        <v>764</v>
      </c>
      <c r="E2" s="2" t="s">
        <v>764</v>
      </c>
      <c r="F2" s="2" t="s">
        <v>764</v>
      </c>
      <c r="G2" s="2" t="s">
        <v>764</v>
      </c>
      <c r="H2" s="2" t="s">
        <v>764</v>
      </c>
      <c r="I2" s="2" t="s">
        <v>764</v>
      </c>
      <c r="J2" s="2" t="s">
        <v>764</v>
      </c>
    </row>
    <row r="3" ht="28" customHeight="1" spans="1:10">
      <c r="A3" s="29" t="s">
        <v>765</v>
      </c>
      <c r="B3" s="30" t="s">
        <v>765</v>
      </c>
      <c r="C3" s="30" t="s">
        <v>765</v>
      </c>
      <c r="D3" s="30" t="s">
        <v>765</v>
      </c>
      <c r="E3" s="30" t="s">
        <v>765</v>
      </c>
      <c r="F3" s="30" t="s">
        <v>765</v>
      </c>
      <c r="G3" s="30" t="s">
        <v>765</v>
      </c>
      <c r="H3" s="30" t="s">
        <v>765</v>
      </c>
      <c r="I3" s="30" t="s">
        <v>765</v>
      </c>
      <c r="J3" s="31" t="s">
        <v>765</v>
      </c>
    </row>
    <row r="4" spans="1:10">
      <c r="A4" s="6" t="s">
        <v>766</v>
      </c>
      <c r="B4" s="6" t="s">
        <v>767</v>
      </c>
      <c r="C4" s="6" t="s">
        <v>393</v>
      </c>
      <c r="D4" s="6" t="s">
        <v>768</v>
      </c>
      <c r="E4" s="6" t="s">
        <v>769</v>
      </c>
      <c r="F4" s="6" t="s">
        <v>770</v>
      </c>
      <c r="G4" s="6" t="s">
        <v>771</v>
      </c>
      <c r="H4" s="6" t="s">
        <v>772</v>
      </c>
      <c r="I4" s="6" t="s">
        <v>773</v>
      </c>
      <c r="J4" s="6" t="s">
        <v>774</v>
      </c>
    </row>
    <row r="5" ht="58" customHeight="1" spans="1:10">
      <c r="A5" s="32" t="s">
        <v>775</v>
      </c>
      <c r="B5" s="8" t="s">
        <v>776</v>
      </c>
      <c r="C5" s="8" t="s">
        <v>506</v>
      </c>
      <c r="D5" s="9" t="s">
        <v>777</v>
      </c>
      <c r="E5" s="9" t="s">
        <v>410</v>
      </c>
      <c r="F5" s="9" t="s">
        <v>778</v>
      </c>
      <c r="G5" s="9" t="s">
        <v>779</v>
      </c>
      <c r="H5" s="9" t="s">
        <v>780</v>
      </c>
      <c r="I5" s="8" t="s">
        <v>781</v>
      </c>
      <c r="J5" s="8" t="s">
        <v>782</v>
      </c>
    </row>
    <row r="6" ht="58" customHeight="1" spans="1:10">
      <c r="A6" s="32" t="s">
        <v>783</v>
      </c>
      <c r="B6" s="8" t="s">
        <v>784</v>
      </c>
      <c r="C6" s="8" t="s">
        <v>785</v>
      </c>
      <c r="D6" s="9" t="s">
        <v>786</v>
      </c>
      <c r="E6" s="9" t="s">
        <v>787</v>
      </c>
      <c r="F6" s="9" t="s">
        <v>788</v>
      </c>
      <c r="G6" s="9" t="s">
        <v>779</v>
      </c>
      <c r="H6" s="9" t="s">
        <v>789</v>
      </c>
      <c r="I6" s="8" t="s">
        <v>790</v>
      </c>
      <c r="J6" s="8" t="s">
        <v>791</v>
      </c>
    </row>
    <row r="7" ht="58" customHeight="1" spans="1:10">
      <c r="A7" s="32" t="s">
        <v>332</v>
      </c>
      <c r="B7" s="8" t="s">
        <v>792</v>
      </c>
      <c r="C7" s="8" t="s">
        <v>793</v>
      </c>
      <c r="D7" s="9" t="s">
        <v>794</v>
      </c>
      <c r="E7" s="9" t="s">
        <v>410</v>
      </c>
      <c r="F7" s="9" t="s">
        <v>788</v>
      </c>
      <c r="G7" s="9" t="s">
        <v>779</v>
      </c>
      <c r="H7" s="9" t="s">
        <v>789</v>
      </c>
      <c r="I7" s="8" t="s">
        <v>795</v>
      </c>
      <c r="J7" s="8" t="s">
        <v>796</v>
      </c>
    </row>
    <row r="8" ht="58" customHeight="1" spans="1:10">
      <c r="A8" s="32" t="s">
        <v>342</v>
      </c>
      <c r="B8" s="8" t="s">
        <v>343</v>
      </c>
      <c r="C8" s="8" t="s">
        <v>797</v>
      </c>
      <c r="D8" s="9" t="s">
        <v>798</v>
      </c>
      <c r="E8" s="9" t="s">
        <v>410</v>
      </c>
      <c r="F8" s="9" t="s">
        <v>788</v>
      </c>
      <c r="G8" s="9" t="s">
        <v>779</v>
      </c>
      <c r="H8" s="9" t="s">
        <v>789</v>
      </c>
      <c r="I8" s="8" t="s">
        <v>799</v>
      </c>
      <c r="J8" s="8" t="s">
        <v>800</v>
      </c>
    </row>
    <row r="9" ht="58" customHeight="1" spans="1:10">
      <c r="A9" s="32" t="s">
        <v>352</v>
      </c>
      <c r="B9" s="8" t="s">
        <v>801</v>
      </c>
      <c r="C9" s="8" t="s">
        <v>802</v>
      </c>
      <c r="D9" s="9" t="s">
        <v>803</v>
      </c>
      <c r="E9" s="9" t="s">
        <v>804</v>
      </c>
      <c r="F9" s="9" t="s">
        <v>805</v>
      </c>
      <c r="G9" s="9" t="s">
        <v>779</v>
      </c>
      <c r="H9" s="9" t="s">
        <v>789</v>
      </c>
      <c r="I9" s="8" t="s">
        <v>806</v>
      </c>
      <c r="J9" s="8" t="s">
        <v>807</v>
      </c>
    </row>
    <row r="10" ht="58" customHeight="1" spans="1:10">
      <c r="A10" s="32" t="s">
        <v>808</v>
      </c>
      <c r="B10" s="8" t="s">
        <v>809</v>
      </c>
      <c r="C10" s="8" t="s">
        <v>810</v>
      </c>
      <c r="D10" s="9" t="s">
        <v>709</v>
      </c>
      <c r="E10" s="9" t="s">
        <v>709</v>
      </c>
      <c r="F10" s="9" t="s">
        <v>811</v>
      </c>
      <c r="G10" s="9" t="s">
        <v>812</v>
      </c>
      <c r="H10" s="9" t="s">
        <v>813</v>
      </c>
      <c r="I10" s="8" t="s">
        <v>814</v>
      </c>
      <c r="J10" s="8" t="s">
        <v>815</v>
      </c>
    </row>
    <row r="11" ht="58" customHeight="1" spans="1:10">
      <c r="A11" s="32" t="s">
        <v>816</v>
      </c>
      <c r="B11" s="8" t="s">
        <v>817</v>
      </c>
      <c r="C11" s="8" t="s">
        <v>818</v>
      </c>
      <c r="D11" s="9" t="s">
        <v>819</v>
      </c>
      <c r="E11" s="9" t="s">
        <v>820</v>
      </c>
      <c r="F11" s="9" t="s">
        <v>821</v>
      </c>
      <c r="G11" s="9" t="s">
        <v>779</v>
      </c>
      <c r="H11" s="9" t="s">
        <v>789</v>
      </c>
      <c r="I11" s="8" t="s">
        <v>822</v>
      </c>
      <c r="J11" s="8" t="s">
        <v>823</v>
      </c>
    </row>
    <row r="12" ht="58" customHeight="1" spans="1:10">
      <c r="A12" s="32" t="s">
        <v>824</v>
      </c>
      <c r="B12" s="8" t="s">
        <v>825</v>
      </c>
      <c r="C12" s="8" t="s">
        <v>826</v>
      </c>
      <c r="D12" s="9" t="s">
        <v>827</v>
      </c>
      <c r="E12" s="9" t="s">
        <v>598</v>
      </c>
      <c r="F12" s="9" t="s">
        <v>828</v>
      </c>
      <c r="G12" s="9" t="s">
        <v>779</v>
      </c>
      <c r="H12" s="9" t="s">
        <v>789</v>
      </c>
      <c r="I12" s="8" t="s">
        <v>829</v>
      </c>
      <c r="J12" s="8" t="s">
        <v>830</v>
      </c>
    </row>
    <row r="13" ht="58" customHeight="1" spans="1:10">
      <c r="A13" s="32" t="s">
        <v>171</v>
      </c>
      <c r="B13" s="8" t="s">
        <v>831</v>
      </c>
      <c r="C13" s="8" t="s">
        <v>832</v>
      </c>
      <c r="D13" s="9" t="s">
        <v>744</v>
      </c>
      <c r="E13" s="9" t="s">
        <v>833</v>
      </c>
      <c r="F13" s="9" t="s">
        <v>834</v>
      </c>
      <c r="G13" s="9" t="s">
        <v>779</v>
      </c>
      <c r="H13" s="9" t="s">
        <v>789</v>
      </c>
      <c r="I13" s="8" t="s">
        <v>835</v>
      </c>
      <c r="J13" s="8" t="s">
        <v>836</v>
      </c>
    </row>
    <row r="14" ht="58" customHeight="1" spans="1:10">
      <c r="A14" s="32" t="s">
        <v>837</v>
      </c>
      <c r="B14" s="8" t="s">
        <v>838</v>
      </c>
      <c r="C14" s="8" t="s">
        <v>839</v>
      </c>
      <c r="D14" s="9" t="s">
        <v>727</v>
      </c>
      <c r="E14" s="9" t="s">
        <v>598</v>
      </c>
      <c r="F14" s="9" t="s">
        <v>840</v>
      </c>
      <c r="G14" s="9" t="s">
        <v>841</v>
      </c>
      <c r="H14" s="9" t="s">
        <v>842</v>
      </c>
      <c r="I14" s="8" t="s">
        <v>843</v>
      </c>
      <c r="J14" s="8" t="s">
        <v>844</v>
      </c>
    </row>
    <row r="15" ht="58" customHeight="1" spans="1:10">
      <c r="A15" s="32" t="s">
        <v>845</v>
      </c>
      <c r="B15" s="8" t="s">
        <v>846</v>
      </c>
      <c r="C15" s="8" t="s">
        <v>847</v>
      </c>
      <c r="D15" s="9" t="s">
        <v>598</v>
      </c>
      <c r="E15" s="9" t="s">
        <v>848</v>
      </c>
      <c r="F15" s="9" t="s">
        <v>849</v>
      </c>
      <c r="G15" s="9" t="s">
        <v>850</v>
      </c>
      <c r="H15" s="9" t="s">
        <v>851</v>
      </c>
      <c r="I15" s="8" t="s">
        <v>852</v>
      </c>
      <c r="J15" s="8" t="s">
        <v>853</v>
      </c>
    </row>
    <row r="16" spans="1:10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>
      <c r="A17" s="10"/>
      <c r="B17" s="10"/>
      <c r="C17" s="10"/>
      <c r="D17" s="10"/>
      <c r="E17" s="10"/>
      <c r="F17" s="10"/>
      <c r="G17" s="10"/>
      <c r="H17" s="10"/>
      <c r="I17" s="10"/>
      <c r="J17" s="10"/>
    </row>
  </sheetData>
  <mergeCells count="3">
    <mergeCell ref="A1:J1"/>
    <mergeCell ref="A2:J2"/>
    <mergeCell ref="A3:J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showGridLines="0" workbookViewId="0">
      <selection activeCell="A1" sqref="A1:R1"/>
    </sheetView>
  </sheetViews>
  <sheetFormatPr defaultColWidth="9" defaultRowHeight="14.25"/>
  <cols>
    <col min="1" max="1" width="12" customWidth="1"/>
    <col min="2" max="2" width="14" customWidth="1"/>
    <col min="3" max="3" width="18" customWidth="1"/>
    <col min="4" max="4" width="23" customWidth="1"/>
    <col min="5" max="5" width="34" customWidth="1"/>
    <col min="6" max="6" width="16" customWidth="1"/>
    <col min="7" max="7" width="17" customWidth="1"/>
    <col min="8" max="8" width="14" customWidth="1"/>
    <col min="9" max="10" width="17" customWidth="1"/>
    <col min="11" max="12" width="15" customWidth="1"/>
    <col min="13" max="13" width="14" customWidth="1"/>
    <col min="14" max="14" width="18" customWidth="1"/>
    <col min="15" max="15" width="34" customWidth="1"/>
    <col min="16" max="16" width="27" customWidth="1"/>
    <col min="17" max="17" width="16" customWidth="1"/>
    <col min="18" max="18" width="34" customWidth="1"/>
  </cols>
  <sheetData>
    <row r="1" ht="30" customHeight="1" spans="1:18">
      <c r="A1" s="1" t="s">
        <v>854</v>
      </c>
      <c r="B1" s="1" t="s">
        <v>854</v>
      </c>
      <c r="C1" s="1" t="s">
        <v>854</v>
      </c>
      <c r="D1" s="1" t="s">
        <v>854</v>
      </c>
      <c r="E1" s="1" t="s">
        <v>854</v>
      </c>
      <c r="F1" s="1" t="s">
        <v>854</v>
      </c>
      <c r="G1" s="1" t="s">
        <v>854</v>
      </c>
      <c r="H1" s="1" t="s">
        <v>854</v>
      </c>
      <c r="I1" s="1" t="s">
        <v>854</v>
      </c>
      <c r="J1" s="1" t="s">
        <v>854</v>
      </c>
      <c r="K1" s="1" t="s">
        <v>854</v>
      </c>
      <c r="L1" s="1" t="s">
        <v>854</v>
      </c>
      <c r="M1" s="1" t="s">
        <v>854</v>
      </c>
      <c r="N1" s="1" t="s">
        <v>854</v>
      </c>
      <c r="O1" s="1" t="s">
        <v>854</v>
      </c>
      <c r="P1" s="1" t="s">
        <v>854</v>
      </c>
      <c r="Q1" s="1" t="s">
        <v>854</v>
      </c>
      <c r="R1" s="1" t="s">
        <v>854</v>
      </c>
    </row>
    <row r="2" ht="24" customHeight="1" spans="1:18">
      <c r="A2" s="2" t="s">
        <v>855</v>
      </c>
      <c r="B2" s="2" t="s">
        <v>855</v>
      </c>
      <c r="C2" s="2" t="s">
        <v>855</v>
      </c>
      <c r="D2" s="2" t="s">
        <v>855</v>
      </c>
      <c r="E2" s="2" t="s">
        <v>855</v>
      </c>
      <c r="F2" s="2" t="s">
        <v>855</v>
      </c>
      <c r="G2" s="2" t="s">
        <v>855</v>
      </c>
      <c r="H2" s="2" t="s">
        <v>855</v>
      </c>
      <c r="I2" s="2" t="s">
        <v>855</v>
      </c>
      <c r="J2" s="2" t="s">
        <v>855</v>
      </c>
      <c r="K2" s="2" t="s">
        <v>855</v>
      </c>
      <c r="L2" s="2" t="s">
        <v>855</v>
      </c>
      <c r="M2" s="2" t="s">
        <v>855</v>
      </c>
      <c r="N2" s="2" t="s">
        <v>855</v>
      </c>
      <c r="O2" s="2" t="s">
        <v>855</v>
      </c>
      <c r="P2" s="2" t="s">
        <v>855</v>
      </c>
      <c r="Q2" s="2" t="s">
        <v>855</v>
      </c>
      <c r="R2" s="2" t="s">
        <v>855</v>
      </c>
    </row>
    <row r="3" ht="28" customHeight="1" spans="1:18">
      <c r="A3" s="11" t="s">
        <v>856</v>
      </c>
      <c r="B3" s="12" t="s">
        <v>856</v>
      </c>
      <c r="C3" s="12" t="s">
        <v>856</v>
      </c>
      <c r="D3" s="12" t="s">
        <v>856</v>
      </c>
      <c r="E3" s="12" t="s">
        <v>856</v>
      </c>
      <c r="F3" s="12" t="s">
        <v>856</v>
      </c>
      <c r="G3" s="12" t="s">
        <v>856</v>
      </c>
      <c r="H3" s="12" t="s">
        <v>856</v>
      </c>
      <c r="I3" s="12" t="s">
        <v>856</v>
      </c>
      <c r="J3" s="12" t="s">
        <v>856</v>
      </c>
      <c r="K3" s="12" t="s">
        <v>856</v>
      </c>
      <c r="L3" s="12" t="s">
        <v>856</v>
      </c>
      <c r="M3" s="12" t="s">
        <v>856</v>
      </c>
      <c r="N3" s="12" t="s">
        <v>856</v>
      </c>
      <c r="O3" s="12" t="s">
        <v>856</v>
      </c>
      <c r="P3" s="12" t="s">
        <v>856</v>
      </c>
      <c r="Q3" s="12" t="s">
        <v>856</v>
      </c>
      <c r="R3" s="13" t="s">
        <v>856</v>
      </c>
    </row>
    <row r="4" spans="1:1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24" customHeight="1" spans="1:18">
      <c r="A5" s="14" t="s">
        <v>857</v>
      </c>
      <c r="B5" s="15" t="s">
        <v>857</v>
      </c>
      <c r="C5" s="15" t="s">
        <v>857</v>
      </c>
      <c r="D5" s="15" t="s">
        <v>857</v>
      </c>
      <c r="E5" s="15" t="s">
        <v>857</v>
      </c>
      <c r="F5" s="15" t="s">
        <v>857</v>
      </c>
      <c r="G5" s="15" t="s">
        <v>857</v>
      </c>
      <c r="H5" s="15" t="s">
        <v>857</v>
      </c>
      <c r="I5" s="15" t="s">
        <v>857</v>
      </c>
      <c r="J5" s="15" t="s">
        <v>857</v>
      </c>
      <c r="K5" s="15" t="s">
        <v>857</v>
      </c>
      <c r="L5" s="15" t="s">
        <v>857</v>
      </c>
      <c r="M5" s="15" t="s">
        <v>857</v>
      </c>
      <c r="N5" s="15" t="s">
        <v>857</v>
      </c>
      <c r="O5" s="15" t="s">
        <v>857</v>
      </c>
      <c r="P5" s="15" t="s">
        <v>857</v>
      </c>
      <c r="Q5" s="15" t="s">
        <v>857</v>
      </c>
      <c r="R5" s="16" t="s">
        <v>857</v>
      </c>
    </row>
    <row r="6" spans="1:18">
      <c r="A6" s="6" t="s">
        <v>858</v>
      </c>
      <c r="B6" s="6" t="s">
        <v>859</v>
      </c>
      <c r="C6" s="6" t="s">
        <v>860</v>
      </c>
      <c r="D6" s="6" t="s">
        <v>861</v>
      </c>
      <c r="E6" s="6" t="s">
        <v>862</v>
      </c>
      <c r="F6" s="6" t="s">
        <v>863</v>
      </c>
      <c r="G6" s="6" t="s">
        <v>864</v>
      </c>
      <c r="H6" s="6" t="s">
        <v>865</v>
      </c>
      <c r="I6" s="6" t="s">
        <v>866</v>
      </c>
      <c r="J6" s="6" t="s">
        <v>867</v>
      </c>
      <c r="K6" s="6" t="s">
        <v>868</v>
      </c>
      <c r="L6" s="6" t="s">
        <v>442</v>
      </c>
      <c r="M6" s="6" t="s">
        <v>869</v>
      </c>
      <c r="N6" s="6" t="s">
        <v>870</v>
      </c>
      <c r="O6" s="6" t="s">
        <v>871</v>
      </c>
      <c r="P6" s="6" t="s">
        <v>872</v>
      </c>
      <c r="Q6" s="6" t="s">
        <v>873</v>
      </c>
      <c r="R6" s="6" t="s">
        <v>874</v>
      </c>
    </row>
    <row r="7" ht="50" customHeight="1" spans="1:18">
      <c r="A7" s="17"/>
      <c r="B7" s="17"/>
      <c r="C7" s="17"/>
      <c r="D7" s="17"/>
      <c r="E7" s="17"/>
      <c r="F7" s="17"/>
      <c r="G7" s="17"/>
      <c r="H7" s="18"/>
      <c r="I7" s="18"/>
      <c r="J7" s="18"/>
      <c r="K7" s="19"/>
      <c r="L7" s="20" t="str">
        <f ca="1" t="shared" ref="L7:L12" si="0">IF(OR(H7="",J7=""),"",MAX(0,MIN(1,(TODAY()-H7)/(J7-H7))))</f>
        <v/>
      </c>
      <c r="M7" s="20" t="str">
        <f ca="1" t="shared" ref="M7:M12" si="1">IF(OR(K7="",L7=""),"",K7-L7)</f>
        <v/>
      </c>
      <c r="N7" s="21" t="str">
        <f ca="1" t="shared" ref="N7:N12" si="2">IF(A7="","",IF(K7&gt;=1,"已完成",IF(TODAY()&gt;J7,"逾期",IF(M7&lt;=-20%,"红色预警",IF(M7&lt;=-10%,"黄色关注","正常")))))</f>
        <v/>
      </c>
      <c r="O7" s="17"/>
      <c r="P7" s="17"/>
      <c r="Q7" s="17"/>
      <c r="R7" s="17"/>
    </row>
    <row r="8" ht="50" customHeight="1" spans="1:18">
      <c r="A8" s="17"/>
      <c r="B8" s="17"/>
      <c r="C8" s="17"/>
      <c r="D8" s="17"/>
      <c r="E8" s="17"/>
      <c r="F8" s="17"/>
      <c r="G8" s="17"/>
      <c r="H8" s="18"/>
      <c r="I8" s="18"/>
      <c r="J8" s="18"/>
      <c r="K8" s="19"/>
      <c r="L8" s="20" t="str">
        <f ca="1" t="shared" si="0"/>
        <v/>
      </c>
      <c r="M8" s="20" t="str">
        <f ca="1" t="shared" si="1"/>
        <v/>
      </c>
      <c r="N8" s="21" t="str">
        <f ca="1" t="shared" si="2"/>
        <v/>
      </c>
      <c r="O8" s="17"/>
      <c r="P8" s="17"/>
      <c r="Q8" s="17"/>
      <c r="R8" s="17"/>
    </row>
    <row r="9" ht="50" customHeight="1" spans="1:18">
      <c r="A9" s="17"/>
      <c r="B9" s="17"/>
      <c r="C9" s="17"/>
      <c r="D9" s="17"/>
      <c r="E9" s="17"/>
      <c r="F9" s="17"/>
      <c r="G9" s="17"/>
      <c r="H9" s="18"/>
      <c r="I9" s="18"/>
      <c r="J9" s="18"/>
      <c r="K9" s="19"/>
      <c r="L9" s="20" t="str">
        <f ca="1" t="shared" si="0"/>
        <v/>
      </c>
      <c r="M9" s="20" t="str">
        <f ca="1" t="shared" si="1"/>
        <v/>
      </c>
      <c r="N9" s="21" t="str">
        <f ca="1" t="shared" si="2"/>
        <v/>
      </c>
      <c r="O9" s="17"/>
      <c r="P9" s="17"/>
      <c r="Q9" s="17"/>
      <c r="R9" s="17"/>
    </row>
    <row r="10" ht="50" customHeight="1" spans="1:18">
      <c r="A10" s="17"/>
      <c r="B10" s="17"/>
      <c r="C10" s="17"/>
      <c r="D10" s="17"/>
      <c r="E10" s="17"/>
      <c r="F10" s="17"/>
      <c r="G10" s="17"/>
      <c r="H10" s="18"/>
      <c r="I10" s="18"/>
      <c r="J10" s="18"/>
      <c r="K10" s="19"/>
      <c r="L10" s="20" t="str">
        <f ca="1" t="shared" si="0"/>
        <v/>
      </c>
      <c r="M10" s="20" t="str">
        <f ca="1" t="shared" si="1"/>
        <v/>
      </c>
      <c r="N10" s="21" t="str">
        <f ca="1" t="shared" si="2"/>
        <v/>
      </c>
      <c r="O10" s="17"/>
      <c r="P10" s="17"/>
      <c r="Q10" s="17"/>
      <c r="R10" s="17"/>
    </row>
    <row r="11" ht="50" customHeight="1" spans="1:18">
      <c r="A11" s="17"/>
      <c r="B11" s="17"/>
      <c r="C11" s="17"/>
      <c r="D11" s="17"/>
      <c r="E11" s="17"/>
      <c r="F11" s="17"/>
      <c r="G11" s="17"/>
      <c r="H11" s="18"/>
      <c r="I11" s="18"/>
      <c r="J11" s="18"/>
      <c r="K11" s="19"/>
      <c r="L11" s="20" t="str">
        <f ca="1" t="shared" si="0"/>
        <v/>
      </c>
      <c r="M11" s="20" t="str">
        <f ca="1" t="shared" si="1"/>
        <v/>
      </c>
      <c r="N11" s="21" t="str">
        <f ca="1" t="shared" si="2"/>
        <v/>
      </c>
      <c r="O11" s="17"/>
      <c r="P11" s="17"/>
      <c r="Q11" s="17"/>
      <c r="R11" s="17"/>
    </row>
    <row r="12" ht="50" customHeight="1" spans="1:18">
      <c r="A12" s="17"/>
      <c r="B12" s="17"/>
      <c r="C12" s="17"/>
      <c r="D12" s="17"/>
      <c r="E12" s="17"/>
      <c r="F12" s="17"/>
      <c r="G12" s="17"/>
      <c r="H12" s="18"/>
      <c r="I12" s="18"/>
      <c r="J12" s="18"/>
      <c r="K12" s="19"/>
      <c r="L12" s="20" t="str">
        <f ca="1" t="shared" si="0"/>
        <v/>
      </c>
      <c r="M12" s="20" t="str">
        <f ca="1" t="shared" si="1"/>
        <v/>
      </c>
      <c r="N12" s="21" t="str">
        <f ca="1" t="shared" si="2"/>
        <v/>
      </c>
      <c r="O12" s="17"/>
      <c r="P12" s="17"/>
      <c r="Q12" s="17"/>
      <c r="R12" s="17"/>
    </row>
    <row r="13" spans="1:18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ht="24" customHeight="1" spans="1:18">
      <c r="A14" s="22" t="s">
        <v>875</v>
      </c>
      <c r="B14" s="23" t="s">
        <v>875</v>
      </c>
      <c r="C14" s="23" t="s">
        <v>875</v>
      </c>
      <c r="D14" s="23" t="s">
        <v>875</v>
      </c>
      <c r="E14" s="23" t="s">
        <v>875</v>
      </c>
      <c r="F14" s="23" t="s">
        <v>875</v>
      </c>
      <c r="G14" s="23" t="s">
        <v>875</v>
      </c>
      <c r="H14" s="23" t="s">
        <v>875</v>
      </c>
      <c r="I14" s="23" t="s">
        <v>875</v>
      </c>
      <c r="J14" s="23" t="s">
        <v>875</v>
      </c>
      <c r="K14" s="23" t="s">
        <v>875</v>
      </c>
      <c r="L14" s="23" t="s">
        <v>875</v>
      </c>
      <c r="M14" s="23" t="s">
        <v>875</v>
      </c>
      <c r="N14" s="23" t="s">
        <v>875</v>
      </c>
      <c r="O14" s="23" t="s">
        <v>875</v>
      </c>
      <c r="P14" s="23" t="s">
        <v>875</v>
      </c>
      <c r="Q14" s="23" t="s">
        <v>875</v>
      </c>
      <c r="R14" s="24" t="s">
        <v>875</v>
      </c>
    </row>
    <row r="15" spans="1:18">
      <c r="A15" s="6" t="s">
        <v>876</v>
      </c>
      <c r="B15" s="6" t="s">
        <v>877</v>
      </c>
      <c r="C15" s="6" t="s">
        <v>642</v>
      </c>
      <c r="D15" s="6" t="s">
        <v>860</v>
      </c>
      <c r="E15" s="6" t="s">
        <v>878</v>
      </c>
      <c r="F15" s="6" t="s">
        <v>879</v>
      </c>
      <c r="G15" s="6" t="s">
        <v>880</v>
      </c>
      <c r="H15" s="6" t="s">
        <v>881</v>
      </c>
      <c r="I15" s="6" t="s">
        <v>882</v>
      </c>
      <c r="J15" s="6" t="s">
        <v>883</v>
      </c>
      <c r="K15" s="6" t="s">
        <v>863</v>
      </c>
      <c r="L15" s="6" t="s">
        <v>884</v>
      </c>
      <c r="M15" s="6" t="s">
        <v>885</v>
      </c>
      <c r="N15" s="6" t="s">
        <v>886</v>
      </c>
      <c r="O15" s="6" t="s">
        <v>887</v>
      </c>
      <c r="P15" s="6" t="s">
        <v>888</v>
      </c>
      <c r="Q15" s="6" t="s">
        <v>889</v>
      </c>
      <c r="R15" s="6" t="s">
        <v>890</v>
      </c>
    </row>
    <row r="16" ht="56" customHeight="1" spans="1:18">
      <c r="A16" s="17"/>
      <c r="B16" s="17"/>
      <c r="C16" s="17"/>
      <c r="D16" s="17"/>
      <c r="E16" s="17"/>
      <c r="F16" s="25"/>
      <c r="G16" s="17"/>
      <c r="H16" s="17"/>
      <c r="I16" s="17"/>
      <c r="J16" s="17"/>
      <c r="K16" s="17"/>
      <c r="L16" s="18"/>
      <c r="M16" s="17"/>
      <c r="N16" s="17"/>
      <c r="O16" s="17"/>
      <c r="P16" s="17"/>
      <c r="Q16" s="17"/>
      <c r="R16" s="18"/>
    </row>
    <row r="17" ht="56" customHeight="1" spans="1:18">
      <c r="A17" s="17"/>
      <c r="B17" s="17"/>
      <c r="C17" s="17"/>
      <c r="D17" s="17"/>
      <c r="E17" s="17"/>
      <c r="F17" s="25"/>
      <c r="G17" s="17"/>
      <c r="H17" s="17"/>
      <c r="I17" s="17"/>
      <c r="J17" s="17"/>
      <c r="K17" s="17"/>
      <c r="L17" s="18"/>
      <c r="M17" s="17"/>
      <c r="N17" s="17"/>
      <c r="O17" s="17"/>
      <c r="P17" s="17"/>
      <c r="Q17" s="17"/>
      <c r="R17" s="18"/>
    </row>
    <row r="18" ht="56" customHeight="1" spans="1:18">
      <c r="A18" s="17"/>
      <c r="B18" s="17"/>
      <c r="C18" s="17"/>
      <c r="D18" s="17"/>
      <c r="E18" s="17"/>
      <c r="F18" s="25"/>
      <c r="G18" s="17"/>
      <c r="H18" s="17"/>
      <c r="I18" s="17"/>
      <c r="J18" s="17"/>
      <c r="K18" s="17"/>
      <c r="L18" s="18"/>
      <c r="M18" s="17"/>
      <c r="N18" s="17"/>
      <c r="O18" s="17"/>
      <c r="P18" s="17"/>
      <c r="Q18" s="17"/>
      <c r="R18" s="18"/>
    </row>
    <row r="19" ht="56" customHeight="1" spans="1:18">
      <c r="A19" s="17"/>
      <c r="B19" s="17"/>
      <c r="C19" s="17"/>
      <c r="D19" s="17"/>
      <c r="E19" s="17"/>
      <c r="F19" s="25"/>
      <c r="G19" s="17"/>
      <c r="H19" s="17"/>
      <c r="I19" s="17"/>
      <c r="J19" s="17"/>
      <c r="K19" s="17"/>
      <c r="L19" s="18"/>
      <c r="M19" s="17"/>
      <c r="N19" s="17"/>
      <c r="O19" s="17"/>
      <c r="P19" s="17"/>
      <c r="Q19" s="17"/>
      <c r="R19" s="18"/>
    </row>
    <row r="20" ht="56" customHeight="1" spans="1:18">
      <c r="A20" s="17"/>
      <c r="B20" s="17"/>
      <c r="C20" s="17"/>
      <c r="D20" s="17"/>
      <c r="E20" s="17"/>
      <c r="F20" s="25"/>
      <c r="G20" s="17"/>
      <c r="H20" s="17"/>
      <c r="I20" s="17"/>
      <c r="J20" s="17"/>
      <c r="K20" s="17"/>
      <c r="L20" s="18"/>
      <c r="M20" s="17"/>
      <c r="N20" s="17"/>
      <c r="O20" s="17"/>
      <c r="P20" s="17"/>
      <c r="Q20" s="17"/>
      <c r="R20" s="18"/>
    </row>
    <row r="21" ht="56" customHeight="1" spans="1:18">
      <c r="A21" s="17"/>
      <c r="B21" s="17"/>
      <c r="C21" s="17"/>
      <c r="D21" s="17"/>
      <c r="E21" s="17"/>
      <c r="F21" s="25"/>
      <c r="G21" s="17"/>
      <c r="H21" s="17"/>
      <c r="I21" s="17"/>
      <c r="J21" s="17"/>
      <c r="K21" s="17"/>
      <c r="L21" s="18"/>
      <c r="M21" s="17"/>
      <c r="N21" s="17"/>
      <c r="O21" s="17"/>
      <c r="P21" s="17"/>
      <c r="Q21" s="17"/>
      <c r="R21" s="18"/>
    </row>
    <row r="22" spans="1:18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ht="24" customHeight="1" spans="1:18">
      <c r="A23" s="26" t="s">
        <v>891</v>
      </c>
      <c r="B23" s="27" t="s">
        <v>891</v>
      </c>
      <c r="C23" s="27" t="s">
        <v>891</v>
      </c>
      <c r="D23" s="27" t="s">
        <v>891</v>
      </c>
      <c r="E23" s="27" t="s">
        <v>891</v>
      </c>
      <c r="F23" s="27" t="s">
        <v>891</v>
      </c>
      <c r="G23" s="27" t="s">
        <v>891</v>
      </c>
      <c r="H23" s="27" t="s">
        <v>891</v>
      </c>
      <c r="I23" s="27" t="s">
        <v>891</v>
      </c>
      <c r="J23" s="27" t="s">
        <v>891</v>
      </c>
      <c r="K23" s="27" t="s">
        <v>891</v>
      </c>
      <c r="L23" s="27" t="s">
        <v>891</v>
      </c>
      <c r="M23" s="27" t="s">
        <v>891</v>
      </c>
      <c r="N23" s="27" t="s">
        <v>891</v>
      </c>
      <c r="O23" s="27" t="s">
        <v>891</v>
      </c>
      <c r="P23" s="27" t="s">
        <v>891</v>
      </c>
      <c r="Q23" s="27" t="s">
        <v>891</v>
      </c>
      <c r="R23" s="28" t="s">
        <v>891</v>
      </c>
    </row>
    <row r="24" spans="1:18">
      <c r="A24" s="6" t="s">
        <v>892</v>
      </c>
      <c r="B24" s="6" t="s">
        <v>893</v>
      </c>
      <c r="C24" s="6" t="s">
        <v>894</v>
      </c>
      <c r="D24" s="6" t="s">
        <v>895</v>
      </c>
      <c r="E24" s="6" t="s">
        <v>896</v>
      </c>
      <c r="F24" s="6" t="s">
        <v>896</v>
      </c>
      <c r="G24" s="6" t="s">
        <v>896</v>
      </c>
      <c r="H24" s="6" t="s">
        <v>896</v>
      </c>
      <c r="I24" s="6" t="s">
        <v>896</v>
      </c>
      <c r="J24" s="6" t="s">
        <v>896</v>
      </c>
      <c r="K24" s="6" t="s">
        <v>896</v>
      </c>
      <c r="L24" s="6" t="s">
        <v>896</v>
      </c>
      <c r="M24" s="6" t="s">
        <v>896</v>
      </c>
      <c r="N24" s="6" t="s">
        <v>896</v>
      </c>
      <c r="O24" s="6" t="s">
        <v>896</v>
      </c>
      <c r="P24" s="6" t="s">
        <v>896</v>
      </c>
      <c r="Q24" s="6" t="s">
        <v>896</v>
      </c>
      <c r="R24" s="6" t="s">
        <v>896</v>
      </c>
    </row>
    <row r="25" spans="1:18">
      <c r="A25" s="8" t="s">
        <v>897</v>
      </c>
      <c r="B25" s="8" t="s">
        <v>898</v>
      </c>
      <c r="C25" s="8" t="s">
        <v>898</v>
      </c>
      <c r="D25" s="8" t="s">
        <v>898</v>
      </c>
      <c r="E25" s="8" t="s">
        <v>898</v>
      </c>
      <c r="F25" s="8" t="s">
        <v>898</v>
      </c>
      <c r="G25" s="8" t="s">
        <v>899</v>
      </c>
      <c r="H25" s="8" t="s">
        <v>899</v>
      </c>
      <c r="I25" s="8" t="s">
        <v>899</v>
      </c>
      <c r="J25" s="8" t="s">
        <v>899</v>
      </c>
      <c r="K25" s="8" t="s">
        <v>899</v>
      </c>
      <c r="L25" s="8" t="s">
        <v>899</v>
      </c>
      <c r="M25" s="8" t="s">
        <v>899</v>
      </c>
      <c r="N25" s="8" t="s">
        <v>899</v>
      </c>
      <c r="O25" s="8" t="s">
        <v>598</v>
      </c>
      <c r="P25" s="8" t="s">
        <v>598</v>
      </c>
      <c r="Q25" s="8" t="s">
        <v>598</v>
      </c>
      <c r="R25" s="8" t="s">
        <v>598</v>
      </c>
    </row>
    <row r="26" spans="1:18">
      <c r="A26" s="8" t="s">
        <v>900</v>
      </c>
      <c r="B26" s="8" t="s">
        <v>901</v>
      </c>
      <c r="C26" s="8" t="s">
        <v>901</v>
      </c>
      <c r="D26" s="8" t="s">
        <v>901</v>
      </c>
      <c r="E26" s="8" t="s">
        <v>901</v>
      </c>
      <c r="F26" s="8" t="s">
        <v>901</v>
      </c>
      <c r="G26" s="8" t="s">
        <v>902</v>
      </c>
      <c r="H26" s="8" t="s">
        <v>902</v>
      </c>
      <c r="I26" s="8" t="s">
        <v>902</v>
      </c>
      <c r="J26" s="8" t="s">
        <v>902</v>
      </c>
      <c r="K26" s="8" t="s">
        <v>902</v>
      </c>
      <c r="L26" s="8" t="s">
        <v>902</v>
      </c>
      <c r="M26" s="8" t="s">
        <v>902</v>
      </c>
      <c r="N26" s="8" t="s">
        <v>902</v>
      </c>
      <c r="O26" s="8" t="s">
        <v>727</v>
      </c>
      <c r="P26" s="8" t="s">
        <v>727</v>
      </c>
      <c r="Q26" s="8" t="s">
        <v>727</v>
      </c>
      <c r="R26" s="8" t="s">
        <v>727</v>
      </c>
    </row>
    <row r="27" spans="1:18">
      <c r="A27" s="8" t="s">
        <v>903</v>
      </c>
      <c r="B27" s="8" t="s">
        <v>904</v>
      </c>
      <c r="C27" s="8" t="s">
        <v>904</v>
      </c>
      <c r="D27" s="8" t="s">
        <v>904</v>
      </c>
      <c r="E27" s="8" t="s">
        <v>904</v>
      </c>
      <c r="F27" s="8" t="s">
        <v>904</v>
      </c>
      <c r="G27" s="8" t="s">
        <v>905</v>
      </c>
      <c r="H27" s="8" t="s">
        <v>905</v>
      </c>
      <c r="I27" s="8" t="s">
        <v>905</v>
      </c>
      <c r="J27" s="8" t="s">
        <v>905</v>
      </c>
      <c r="K27" s="8" t="s">
        <v>905</v>
      </c>
      <c r="L27" s="8" t="s">
        <v>905</v>
      </c>
      <c r="M27" s="8" t="s">
        <v>905</v>
      </c>
      <c r="N27" s="8" t="s">
        <v>905</v>
      </c>
      <c r="O27" s="8" t="s">
        <v>906</v>
      </c>
      <c r="P27" s="8" t="s">
        <v>906</v>
      </c>
      <c r="Q27" s="8" t="s">
        <v>906</v>
      </c>
      <c r="R27" s="8" t="s">
        <v>906</v>
      </c>
    </row>
    <row r="28" spans="1:18">
      <c r="A28" s="8" t="s">
        <v>907</v>
      </c>
      <c r="B28" s="8" t="s">
        <v>908</v>
      </c>
      <c r="C28" s="8" t="s">
        <v>908</v>
      </c>
      <c r="D28" s="8" t="s">
        <v>908</v>
      </c>
      <c r="E28" s="8" t="s">
        <v>908</v>
      </c>
      <c r="F28" s="8" t="s">
        <v>908</v>
      </c>
      <c r="G28" s="8" t="s">
        <v>909</v>
      </c>
      <c r="H28" s="8" t="s">
        <v>909</v>
      </c>
      <c r="I28" s="8" t="s">
        <v>909</v>
      </c>
      <c r="J28" s="8" t="s">
        <v>909</v>
      </c>
      <c r="K28" s="8" t="s">
        <v>909</v>
      </c>
      <c r="L28" s="8" t="s">
        <v>909</v>
      </c>
      <c r="M28" s="8" t="s">
        <v>909</v>
      </c>
      <c r="N28" s="8" t="s">
        <v>909</v>
      </c>
      <c r="O28" s="8" t="s">
        <v>910</v>
      </c>
      <c r="P28" s="8" t="s">
        <v>910</v>
      </c>
      <c r="Q28" s="8" t="s">
        <v>910</v>
      </c>
      <c r="R28" s="8" t="s">
        <v>910</v>
      </c>
    </row>
    <row r="29" spans="1:18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</sheetData>
  <mergeCells count="20">
    <mergeCell ref="A1:R1"/>
    <mergeCell ref="A2:R2"/>
    <mergeCell ref="A3:R3"/>
    <mergeCell ref="A5:R5"/>
    <mergeCell ref="A14:R14"/>
    <mergeCell ref="A23:R23"/>
    <mergeCell ref="B24:N24"/>
    <mergeCell ref="O24:R24"/>
    <mergeCell ref="B25:F25"/>
    <mergeCell ref="G25:N25"/>
    <mergeCell ref="O25:R25"/>
    <mergeCell ref="B26:F26"/>
    <mergeCell ref="G26:N26"/>
    <mergeCell ref="O26:R26"/>
    <mergeCell ref="B27:F27"/>
    <mergeCell ref="G27:N27"/>
    <mergeCell ref="O27:R27"/>
    <mergeCell ref="B28:F28"/>
    <mergeCell ref="G28:N28"/>
    <mergeCell ref="O28:R28"/>
  </mergeCells>
  <conditionalFormatting sqref="B16:B21">
    <cfRule type="containsText" dxfId="0" priority="6" operator="between" text="红">
      <formula>NOT(ISERROR(SEARCH("红",B16)))</formula>
    </cfRule>
    <cfRule type="containsText" dxfId="1" priority="7" operator="between" text="黄">
      <formula>NOT(ISERROR(SEARCH("黄",B16)))</formula>
    </cfRule>
    <cfRule type="containsText" dxfId="2" priority="8" operator="between" text="蓝">
      <formula>NOT(ISERROR(SEARCH("蓝",B16)))</formula>
    </cfRule>
  </conditionalFormatting>
  <conditionalFormatting sqref="N7:N12">
    <cfRule type="containsText" dxfId="3" priority="1" operator="between" text="正常">
      <formula>NOT(ISERROR(SEARCH("正常",N7)))</formula>
    </cfRule>
    <cfRule type="containsText" dxfId="1" priority="2" operator="between" text="黄色">
      <formula>NOT(ISERROR(SEARCH("黄色",N7)))</formula>
    </cfRule>
    <cfRule type="containsText" dxfId="0" priority="3" operator="between" text="红色">
      <formula>NOT(ISERROR(SEARCH("红色",N7)))</formula>
    </cfRule>
    <cfRule type="containsText" dxfId="0" priority="4" operator="between" text="逾期">
      <formula>NOT(ISERROR(SEARCH("逾期",N7)))</formula>
    </cfRule>
    <cfRule type="containsText" dxfId="3" priority="5" operator="between" text="已完成">
      <formula>NOT(ISERROR(SEARCH("已完成",N7)))</formula>
    </cfRule>
  </conditionalFormatting>
  <dataValidations count="7">
    <dataValidation type="list" sqref="B7:B12">
      <formula1>"老板交办,经营会,周会,部门计划,风险整改,其他"</formula1>
    </dataValidation>
    <dataValidation type="list" sqref="B16:B21">
      <formula1>"红色,黄色,蓝色"</formula1>
    </dataValidation>
    <dataValidation type="list" sqref="C7:C12">
      <formula1>"APR门店,Apple电商,Shure电商,3PP/渠道分销,职能保障,公司级"</formula1>
    </dataValidation>
    <dataValidation type="list" sqref="C16:C21">
      <formula1>"经营,库存,资金,客户/平台,合规,人员,数据,其他"</formula1>
    </dataValidation>
    <dataValidation type="list" sqref="H16:H21">
      <formula1>"高,中,低"</formula1>
    </dataValidation>
    <dataValidation type="list" sqref="M16:M21">
      <formula1>"未开始,处理中,待验证,已关闭"</formula1>
    </dataValidation>
    <dataValidation type="list" sqref="Q7:Q12">
      <formula1>"是,否"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selection activeCell="A1" sqref="A1:I1"/>
    </sheetView>
  </sheetViews>
  <sheetFormatPr defaultColWidth="9" defaultRowHeight="14.25"/>
  <cols>
    <col min="1" max="1" width="9" customWidth="1"/>
    <col min="2" max="2" width="24" customWidth="1"/>
    <col min="3" max="3" width="31" customWidth="1"/>
    <col min="4" max="4" width="48" customWidth="1"/>
    <col min="5" max="5" width="15" customWidth="1"/>
    <col min="6" max="6" width="28" customWidth="1"/>
    <col min="7" max="7" width="29" customWidth="1"/>
    <col min="8" max="8" width="21" customWidth="1"/>
    <col min="9" max="9" width="28" customWidth="1"/>
  </cols>
  <sheetData>
    <row r="1" ht="30" customHeight="1" spans="1:9">
      <c r="A1" s="1" t="s">
        <v>911</v>
      </c>
      <c r="B1" s="1" t="s">
        <v>911</v>
      </c>
      <c r="C1" s="1" t="s">
        <v>911</v>
      </c>
      <c r="D1" s="1" t="s">
        <v>911</v>
      </c>
      <c r="E1" s="1" t="s">
        <v>911</v>
      </c>
      <c r="F1" s="1" t="s">
        <v>911</v>
      </c>
      <c r="G1" s="1" t="s">
        <v>911</v>
      </c>
      <c r="H1" s="1" t="s">
        <v>911</v>
      </c>
      <c r="I1" s="1" t="s">
        <v>911</v>
      </c>
    </row>
    <row r="2" ht="24" customHeight="1" spans="1:9">
      <c r="A2" s="2" t="s">
        <v>912</v>
      </c>
      <c r="B2" s="2" t="s">
        <v>912</v>
      </c>
      <c r="C2" s="2" t="s">
        <v>912</v>
      </c>
      <c r="D2" s="2" t="s">
        <v>912</v>
      </c>
      <c r="E2" s="2" t="s">
        <v>912</v>
      </c>
      <c r="F2" s="2" t="s">
        <v>912</v>
      </c>
      <c r="G2" s="2" t="s">
        <v>912</v>
      </c>
      <c r="H2" s="2" t="s">
        <v>912</v>
      </c>
      <c r="I2" s="2" t="s">
        <v>912</v>
      </c>
    </row>
    <row r="3" ht="28" customHeight="1" spans="1:9">
      <c r="A3" s="3" t="s">
        <v>913</v>
      </c>
      <c r="B3" s="4" t="s">
        <v>913</v>
      </c>
      <c r="C3" s="4" t="s">
        <v>913</v>
      </c>
      <c r="D3" s="4" t="s">
        <v>913</v>
      </c>
      <c r="E3" s="4" t="s">
        <v>913</v>
      </c>
      <c r="F3" s="4" t="s">
        <v>913</v>
      </c>
      <c r="G3" s="4" t="s">
        <v>913</v>
      </c>
      <c r="H3" s="4" t="s">
        <v>913</v>
      </c>
      <c r="I3" s="5" t="s">
        <v>913</v>
      </c>
    </row>
    <row r="4" spans="1:9">
      <c r="A4" s="6" t="s">
        <v>914</v>
      </c>
      <c r="B4" s="6" t="s">
        <v>915</v>
      </c>
      <c r="C4" s="6" t="s">
        <v>916</v>
      </c>
      <c r="D4" s="6" t="s">
        <v>917</v>
      </c>
      <c r="E4" s="6" t="s">
        <v>648</v>
      </c>
      <c r="F4" s="6" t="s">
        <v>918</v>
      </c>
      <c r="G4" s="6" t="s">
        <v>919</v>
      </c>
      <c r="H4" s="6" t="s">
        <v>920</v>
      </c>
      <c r="I4" s="6" t="s">
        <v>395</v>
      </c>
    </row>
    <row r="5" ht="52" customHeight="1" spans="1:9">
      <c r="A5" s="7" t="s">
        <v>921</v>
      </c>
      <c r="B5" s="7" t="s">
        <v>922</v>
      </c>
      <c r="C5" s="8" t="s">
        <v>923</v>
      </c>
      <c r="D5" s="8" t="s">
        <v>924</v>
      </c>
      <c r="E5" s="9" t="s">
        <v>690</v>
      </c>
      <c r="F5" s="8" t="s">
        <v>925</v>
      </c>
      <c r="G5" s="8" t="s">
        <v>926</v>
      </c>
      <c r="H5" s="8" t="s">
        <v>927</v>
      </c>
      <c r="I5" s="8" t="s">
        <v>928</v>
      </c>
    </row>
    <row r="6" ht="52" customHeight="1" spans="1:9">
      <c r="A6" s="7" t="s">
        <v>929</v>
      </c>
      <c r="B6" s="7" t="s">
        <v>930</v>
      </c>
      <c r="C6" s="8" t="s">
        <v>931</v>
      </c>
      <c r="D6" s="8" t="s">
        <v>932</v>
      </c>
      <c r="E6" s="9" t="s">
        <v>753</v>
      </c>
      <c r="F6" s="8" t="s">
        <v>933</v>
      </c>
      <c r="G6" s="8" t="s">
        <v>934</v>
      </c>
      <c r="H6" s="8" t="s">
        <v>935</v>
      </c>
      <c r="I6" s="8" t="s">
        <v>936</v>
      </c>
    </row>
    <row r="7" ht="52" customHeight="1" spans="1:9">
      <c r="A7" s="7" t="s">
        <v>937</v>
      </c>
      <c r="B7" s="7" t="s">
        <v>938</v>
      </c>
      <c r="C7" s="8" t="s">
        <v>939</v>
      </c>
      <c r="D7" s="8" t="s">
        <v>940</v>
      </c>
      <c r="E7" s="9" t="s">
        <v>527</v>
      </c>
      <c r="F7" s="8" t="s">
        <v>941</v>
      </c>
      <c r="G7" s="8" t="s">
        <v>942</v>
      </c>
      <c r="H7" s="8" t="s">
        <v>943</v>
      </c>
      <c r="I7" s="8" t="s">
        <v>944</v>
      </c>
    </row>
    <row r="8" ht="52" customHeight="1" spans="1:9">
      <c r="A8" s="7" t="s">
        <v>945</v>
      </c>
      <c r="B8" s="7" t="s">
        <v>946</v>
      </c>
      <c r="C8" s="8" t="s">
        <v>947</v>
      </c>
      <c r="D8" s="8" t="s">
        <v>948</v>
      </c>
      <c r="E8" s="9" t="s">
        <v>753</v>
      </c>
      <c r="F8" s="8" t="s">
        <v>949</v>
      </c>
      <c r="G8" s="8" t="s">
        <v>950</v>
      </c>
      <c r="H8" s="8" t="s">
        <v>332</v>
      </c>
      <c r="I8" s="8" t="s">
        <v>951</v>
      </c>
    </row>
    <row r="9" ht="52" customHeight="1" spans="1:9">
      <c r="A9" s="7" t="s">
        <v>952</v>
      </c>
      <c r="B9" s="7" t="s">
        <v>953</v>
      </c>
      <c r="C9" s="8" t="s">
        <v>954</v>
      </c>
      <c r="D9" s="8" t="s">
        <v>955</v>
      </c>
      <c r="E9" s="9" t="s">
        <v>753</v>
      </c>
      <c r="F9" s="8" t="s">
        <v>949</v>
      </c>
      <c r="G9" s="8" t="s">
        <v>956</v>
      </c>
      <c r="H9" s="8" t="s">
        <v>342</v>
      </c>
      <c r="I9" s="8" t="s">
        <v>957</v>
      </c>
    </row>
    <row r="10" ht="52" customHeight="1" spans="1:9">
      <c r="A10" s="7" t="s">
        <v>958</v>
      </c>
      <c r="B10" s="7" t="s">
        <v>959</v>
      </c>
      <c r="C10" s="8" t="s">
        <v>960</v>
      </c>
      <c r="D10" s="8" t="s">
        <v>961</v>
      </c>
      <c r="E10" s="9" t="s">
        <v>656</v>
      </c>
      <c r="F10" s="8" t="s">
        <v>962</v>
      </c>
      <c r="G10" s="8" t="s">
        <v>963</v>
      </c>
      <c r="H10" s="8" t="s">
        <v>964</v>
      </c>
      <c r="I10" s="8" t="s">
        <v>965</v>
      </c>
    </row>
    <row r="11" ht="52" customHeight="1" spans="1:9">
      <c r="A11" s="7" t="s">
        <v>966</v>
      </c>
      <c r="B11" s="7" t="s">
        <v>967</v>
      </c>
      <c r="C11" s="8" t="s">
        <v>968</v>
      </c>
      <c r="D11" s="8" t="s">
        <v>969</v>
      </c>
      <c r="E11" s="9" t="s">
        <v>656</v>
      </c>
      <c r="F11" s="8" t="s">
        <v>514</v>
      </c>
      <c r="G11" s="8" t="s">
        <v>970</v>
      </c>
      <c r="H11" s="8" t="s">
        <v>971</v>
      </c>
      <c r="I11" s="8" t="s">
        <v>972</v>
      </c>
    </row>
    <row r="12" ht="52" customHeight="1" spans="1:9">
      <c r="A12" s="7" t="s">
        <v>973</v>
      </c>
      <c r="B12" s="7" t="s">
        <v>974</v>
      </c>
      <c r="C12" s="8" t="s">
        <v>975</v>
      </c>
      <c r="D12" s="8" t="s">
        <v>976</v>
      </c>
      <c r="E12" s="9" t="s">
        <v>527</v>
      </c>
      <c r="F12" s="8" t="s">
        <v>977</v>
      </c>
      <c r="G12" s="8" t="s">
        <v>978</v>
      </c>
      <c r="H12" s="8" t="s">
        <v>979</v>
      </c>
      <c r="I12" s="8" t="s">
        <v>980</v>
      </c>
    </row>
    <row r="13" ht="52" customHeight="1" spans="1:9">
      <c r="A13" s="7" t="s">
        <v>981</v>
      </c>
      <c r="B13" s="7" t="s">
        <v>982</v>
      </c>
      <c r="C13" s="8" t="s">
        <v>983</v>
      </c>
      <c r="D13" s="8" t="s">
        <v>984</v>
      </c>
      <c r="E13" s="9" t="s">
        <v>527</v>
      </c>
      <c r="F13" s="8" t="s">
        <v>985</v>
      </c>
      <c r="G13" s="8" t="s">
        <v>986</v>
      </c>
      <c r="H13" s="8" t="s">
        <v>486</v>
      </c>
      <c r="I13" s="8" t="s">
        <v>987</v>
      </c>
    </row>
    <row r="14" ht="52" customHeight="1" spans="1:9">
      <c r="A14" s="7" t="s">
        <v>988</v>
      </c>
      <c r="B14" s="7" t="s">
        <v>824</v>
      </c>
      <c r="C14" s="8" t="s">
        <v>989</v>
      </c>
      <c r="D14" s="8" t="s">
        <v>990</v>
      </c>
      <c r="E14" s="9" t="s">
        <v>656</v>
      </c>
      <c r="F14" s="8" t="s">
        <v>589</v>
      </c>
      <c r="G14" s="8" t="s">
        <v>991</v>
      </c>
      <c r="H14" s="8" t="s">
        <v>992</v>
      </c>
      <c r="I14" s="8" t="s">
        <v>993</v>
      </c>
    </row>
    <row r="15" ht="52" customHeight="1" spans="1:9">
      <c r="A15" s="7" t="s">
        <v>994</v>
      </c>
      <c r="B15" s="7" t="s">
        <v>171</v>
      </c>
      <c r="C15" s="8" t="s">
        <v>995</v>
      </c>
      <c r="D15" s="8" t="s">
        <v>996</v>
      </c>
      <c r="E15" s="9" t="s">
        <v>527</v>
      </c>
      <c r="F15" s="8" t="s">
        <v>614</v>
      </c>
      <c r="G15" s="8" t="s">
        <v>268</v>
      </c>
      <c r="H15" s="8" t="s">
        <v>84</v>
      </c>
      <c r="I15" s="8" t="s">
        <v>997</v>
      </c>
    </row>
    <row r="16" ht="52" customHeight="1" spans="1:9">
      <c r="A16" s="7" t="s">
        <v>998</v>
      </c>
      <c r="B16" s="7" t="s">
        <v>999</v>
      </c>
      <c r="C16" s="8" t="s">
        <v>1000</v>
      </c>
      <c r="D16" s="8" t="s">
        <v>1001</v>
      </c>
      <c r="E16" s="9" t="s">
        <v>696</v>
      </c>
      <c r="F16" s="8" t="s">
        <v>1002</v>
      </c>
      <c r="G16" s="8" t="s">
        <v>1003</v>
      </c>
      <c r="H16" s="8" t="s">
        <v>1004</v>
      </c>
      <c r="I16" s="8" t="s">
        <v>1005</v>
      </c>
    </row>
    <row r="17" ht="52" customHeight="1" spans="1:9">
      <c r="A17" s="7" t="s">
        <v>1006</v>
      </c>
      <c r="B17" s="7" t="s">
        <v>1007</v>
      </c>
      <c r="C17" s="8" t="s">
        <v>1008</v>
      </c>
      <c r="D17" s="8" t="s">
        <v>1009</v>
      </c>
      <c r="E17" s="9" t="s">
        <v>753</v>
      </c>
      <c r="F17" s="8" t="s">
        <v>1010</v>
      </c>
      <c r="G17" s="8" t="s">
        <v>1011</v>
      </c>
      <c r="H17" s="8" t="s">
        <v>1012</v>
      </c>
      <c r="I17" s="8" t="s">
        <v>1013</v>
      </c>
    </row>
    <row r="18" spans="1:9">
      <c r="A18" s="10"/>
      <c r="B18" s="10"/>
      <c r="C18" s="10"/>
      <c r="D18" s="10"/>
      <c r="E18" s="10"/>
      <c r="F18" s="10"/>
      <c r="G18" s="10"/>
      <c r="H18" s="10"/>
      <c r="I18" s="10"/>
    </row>
    <row r="19" spans="1:9">
      <c r="A19" s="10"/>
      <c r="B19" s="10"/>
      <c r="C19" s="10"/>
      <c r="D19" s="10"/>
      <c r="E19" s="10"/>
      <c r="F19" s="10"/>
      <c r="G19" s="10"/>
      <c r="H19" s="10"/>
      <c r="I19" s="10"/>
    </row>
  </sheetData>
  <mergeCells count="3">
    <mergeCell ref="A1:I1"/>
    <mergeCell ref="A2:I2"/>
    <mergeCell ref="A3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1-日报框架</vt:lpstr>
      <vt:lpstr>2-周报框架</vt:lpstr>
      <vt:lpstr>3-月报框架</vt:lpstr>
      <vt:lpstr>4-业务板块专项</vt:lpstr>
      <vt:lpstr>5-指标口径矩阵</vt:lpstr>
      <vt:lpstr>6-预警与决策规则</vt:lpstr>
      <vt:lpstr>7-数据责任与时效</vt:lpstr>
      <vt:lpstr>8-事项风控模板</vt:lpstr>
      <vt:lpstr>9-附表清单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落霞</cp:lastModifiedBy>
  <dcterms:created xsi:type="dcterms:W3CDTF">2026-08-15T05:54:53Z</dcterms:created>
  <dcterms:modified xsi:type="dcterms:W3CDTF">2026-08-15T05:56:32Z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3C934C0A937E4D65AE4FD95AE623D33E_13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