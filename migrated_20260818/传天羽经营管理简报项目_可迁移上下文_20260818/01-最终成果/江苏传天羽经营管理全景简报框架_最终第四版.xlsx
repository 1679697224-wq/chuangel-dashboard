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4b38408d7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-老板审阅总纲" sheetId="1" r:id="R39ac1adfa4734747"/>
    <x:sheet xmlns:r="http://schemas.openxmlformats.org/officeDocument/2006/relationships" name="1-全景框架明细" sheetId="2" r:id="R934ac669745640fc"/>
    <x:sheet xmlns:r="http://schemas.openxmlformats.org/officeDocument/2006/relationships" name="2-日报框架" sheetId="3" r:id="R31aabce0ac3d423b"/>
    <x:sheet xmlns:r="http://schemas.openxmlformats.org/officeDocument/2006/relationships" name="3-周报框架" sheetId="4" r:id="R0e418764ec5d468f"/>
    <x:sheet xmlns:r="http://schemas.openxmlformats.org/officeDocument/2006/relationships" name="4-月报框架" sheetId="5" r:id="Recaa816637684459"/>
    <x:sheet xmlns:r="http://schemas.openxmlformats.org/officeDocument/2006/relationships" name="5-业务板块专项" sheetId="6" r:id="Re8c4aedf9f4c43d0"/>
    <x:sheet xmlns:r="http://schemas.openxmlformats.org/officeDocument/2006/relationships" name="6-管理四维流程" sheetId="7" r:id="R42accd5fecff448d"/>
    <x:sheet xmlns:r="http://schemas.openxmlformats.org/officeDocument/2006/relationships" name="7-重点事项优先级" sheetId="8" r:id="Rd205c45d6c414f79"/>
    <x:sheet xmlns:r="http://schemas.openxmlformats.org/officeDocument/2006/relationships" name="8-预警与决策规则" sheetId="9" r:id="R58d837361ea8462c"/>
    <x:sheet xmlns:r="http://schemas.openxmlformats.org/officeDocument/2006/relationships" name="9-AI智能体应用" sheetId="10" r:id="Re7f8eaf503c04c3c"/>
    <x:sheet xmlns:r="http://schemas.openxmlformats.org/officeDocument/2006/relationships" name="10-纪律与运行机制" sheetId="11" r:id="R1edda91086f14c1a"/>
    <x:sheet xmlns:r="http://schemas.openxmlformats.org/officeDocument/2006/relationships" name="11-指标口径矩阵" sheetId="12" r:id="R2faf7467960049b7"/>
    <x:sheet xmlns:r="http://schemas.openxmlformats.org/officeDocument/2006/relationships" name="12-数据责任与时效" sheetId="13" r:id="R27cc9e405c2f4166"/>
    <x:sheet xmlns:r="http://schemas.openxmlformats.org/officeDocument/2006/relationships" name="13-事项风控模板" sheetId="14" r:id="R5105d468a0d4401d"/>
    <x:sheet xmlns:r="http://schemas.openxmlformats.org/officeDocument/2006/relationships" name="14-附表清单" sheetId="15" r:id="R2b15369bdefb4375"/>
    <x:sheet xmlns:r="http://schemas.openxmlformats.org/officeDocument/2006/relationships" name="15-完整性校验" sheetId="16" r:id="Rf73d43efe5dc4d39"/>
    <x:sheet xmlns:r="http://schemas.openxmlformats.org/officeDocument/2006/relationships" name="16-来源版本说明" sheetId="17" r:id="Rce641e178625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#,##0;[Red](#,##0);-"/>
    <x:numFmt numFmtId="203" formatCode="0.0%"/>
  </x:numFmts>
  <x:fonts count="13">
    <x:font>
      <x:sz val="11"/>
      <x:name val="Carlito"/>
    </x:font>
    <x:font>
      <x:sz val="9"/>
      <x:color rgb="FF193047"/>
      <x:name val="Microsoft YaHei"/>
    </x:font>
    <x:font>
      <x:b/>
      <x:sz val="18"/>
      <x:color rgb="FFFFFFFF"/>
      <x:name val="Microsoft YaHei"/>
    </x:font>
    <x:font>
      <x:sz val="9"/>
      <x:color rgb="FF5D6977"/>
      <x:name val="Microsoft YaHei"/>
    </x:font>
    <x:font>
      <x:b/>
      <x:sz val="9"/>
      <x:color rgb="FF1769C2"/>
      <x:name val="Microsoft YaHei"/>
    </x:font>
    <x:font>
      <x:b/>
      <x:sz val="11"/>
      <x:color rgb="FFFFFFFF"/>
      <x:name val="Microsoft YaHei"/>
    </x:font>
    <x:font>
      <x:b/>
      <x:sz val="9"/>
      <x:color rgb="FFFFFFFF"/>
      <x:name val="Microsoft YaHei"/>
    </x:font>
    <x:font>
      <x:b/>
      <x:sz val="9"/>
      <x:color rgb="FF7454B7"/>
      <x:name val="Microsoft YaHei"/>
    </x:font>
    <x:font>
      <x:b/>
      <x:sz val="9"/>
      <x:color rgb="FFC96A08"/>
      <x:name val="Microsoft YaHei"/>
    </x:font>
    <x:font>
      <x:b/>
      <x:sz val="9"/>
      <x:color rgb="FFC63D3D"/>
      <x:name val="Microsoft YaHei"/>
    </x:font>
    <x:font>
      <x:b/>
      <x:sz val="9"/>
      <x:color rgb="FF0C8461"/>
      <x:name val="Microsoft YaHei"/>
    </x:font>
    <x:font>
      <x:b/>
      <x:sz val="9"/>
      <x:color rgb="FF5D6977"/>
      <x:name val="Microsoft YaHei"/>
    </x:font>
    <x:font>
      <x:b/>
      <x:sz val="9"/>
      <x:color rgb="FF147E98"/>
      <x:name val="Microsoft YaHei"/>
    </x:font>
  </x:fonts>
  <x:fills count="19">
    <x:fill>
      <x:patternFill patternType="none"/>
    </x:fill>
    <x:fill>
      <x:patternFill patternType="gray125"/>
    </x:fill>
    <x:fill>
      <x:patternFill patternType="solid">
        <x:fgColor rgb="FF0B2A4A"/>
      </x:patternFill>
    </x:fill>
    <x:fill>
      <x:patternFill patternType="solid">
        <x:fgColor rgb="FFEAF3FC"/>
      </x:patternFill>
    </x:fill>
    <x:fill>
      <x:patternFill patternType="solid">
        <x:fgColor rgb="FF1769C2"/>
      </x:patternFill>
    </x:fill>
    <x:fill>
      <x:patternFill patternType="solid">
        <x:fgColor rgb="FF133F6D"/>
      </x:patternFill>
    </x:fill>
    <x:fill>
      <x:patternFill patternType="solid">
        <x:fgColor rgb="FFFFFFFF"/>
      </x:patternFill>
    </x:fill>
    <x:fill>
      <x:patternFill patternType="solid">
        <x:fgColor rgb="FFF2EEFB"/>
      </x:patternFill>
    </x:fill>
    <x:fill>
      <x:patternFill patternType="solid">
        <x:fgColor rgb="FFFFF3E3"/>
      </x:patternFill>
    </x:fill>
    <x:fill>
      <x:patternFill patternType="solid">
        <x:fgColor rgb="FFFCEBEC"/>
      </x:patternFill>
    </x:fill>
    <x:fill>
      <x:patternFill patternType="solid">
        <x:fgColor rgb="FF0C8461"/>
      </x:patternFill>
    </x:fill>
    <x:fill>
      <x:patternFill patternType="solid">
        <x:fgColor rgb="FFE8F6F0"/>
      </x:patternFill>
    </x:fill>
    <x:fill>
      <x:patternFill patternType="solid">
        <x:fgColor rgb="FFF3F6F8"/>
      </x:patternFill>
    </x:fill>
    <x:fill>
      <x:patternFill patternType="solid">
        <x:fgColor rgb="FF7454B7"/>
      </x:patternFill>
    </x:fill>
    <x:fill>
      <x:patternFill patternType="solid">
        <x:fgColor rgb="FFC96A08"/>
      </x:patternFill>
    </x:fill>
    <x:fill>
      <x:patternFill patternType="solid">
        <x:fgColor rgb="FFE8F5F8"/>
      </x:patternFill>
    </x:fill>
    <x:fill>
      <x:patternFill patternType="solid">
        <x:fgColor rgb="FFFFF7DF"/>
      </x:patternFill>
    </x:fill>
    <x:fill>
      <x:patternFill patternType="solid">
        <x:fgColor rgb="FFE8F2FF"/>
      </x:patternFill>
    </x:fill>
    <x:fill>
      <x:patternFill patternType="solid">
        <x:fgColor rgb="FFC63D3D"/>
      </x:patternFill>
    </x:fill>
  </x:fills>
  <x:borders count="3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E8EDF2"/>
      </x:left>
      <x:right style="thin">
        <x:color rgb="FFE8EDF2"/>
      </x:right>
      <x:top style="thin">
        <x:color rgb="FFE8EDF2"/>
      </x:top>
      <x:bottom style="thin">
        <x:color rgb="FFE8EDF2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left" vertical="center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left" vertical="center" wrapText="1"/>
    </x:xf>
    <x:xf numFmtId="0" fontId="7" fillId="7" borderId="2" xfId="0" applyNumberFormat="1" applyFont="1" applyFill="1" applyBorder="1" applyAlignment="1">
      <x:alignment horizontal="left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left" vertical="center" wrapText="1"/>
    </x:xf>
    <x:xf numFmtId="0" fontId="8" fillId="8" borderId="2" xfId="0" applyNumberFormat="1" applyFont="1" applyFill="1" applyBorder="1" applyAlignment="1">
      <x:alignment horizontal="left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left" vertical="center" wrapText="1"/>
    </x:xf>
    <x:xf numFmtId="0" fontId="9" fillId="9" borderId="2" xfId="0" applyNumberFormat="1" applyFont="1" applyFill="1" applyBorder="1" applyAlignment="1">
      <x:alignment horizontal="left" vertical="center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1" fillId="11" borderId="2" xfId="0" applyNumberFormat="1" applyFont="1" applyFill="1" applyBorder="1" applyAlignment="1">
      <x:alignment horizontal="left" vertical="center" wrapText="1"/>
    </x:xf>
    <x:xf numFmtId="0" fontId="10" fillId="11" borderId="2" xfId="0" applyNumberFormat="1" applyFont="1" applyFill="1" applyBorder="1" applyAlignment="1">
      <x:alignment horizontal="left" vertical="center" wrapText="1"/>
    </x:xf>
    <x:xf numFmtId="0" fontId="10" fillId="11" borderId="2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left" vertical="center" wrapText="1"/>
    </x:xf>
    <x:xf numFmtId="0" fontId="11" fillId="12" borderId="2" xfId="0" applyNumberFormat="1" applyFont="1" applyFill="1" applyBorder="1" applyAlignment="1">
      <x:alignment horizontal="left" vertical="center" wrapText="1"/>
    </x:xf>
    <x:xf numFmtId="0" fontId="11" fillId="12" borderId="2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horizontal="left"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1" fillId="15" borderId="2" xfId="0" applyNumberFormat="1" applyFont="1" applyFill="1" applyBorder="1" applyAlignment="1">
      <x:alignment horizontal="left" vertical="center" wrapText="1"/>
    </x:xf>
    <x:xf numFmtId="0" fontId="12" fillId="15" borderId="2" xfId="0" applyNumberFormat="1" applyFont="1" applyFill="1" applyBorder="1" applyAlignment="1">
      <x:alignment horizontal="left" vertical="center" wrapText="1"/>
    </x:xf>
    <x:xf numFmtId="0" fontId="12" fillId="15" borderId="2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horizontal="left" vertical="center" wrapText="1"/>
    </x:xf>
    <x:xf numFmtId="0" fontId="1" fillId="16" borderId="2" xfId="0" applyNumberFormat="1" applyFont="1" applyFill="1" applyBorder="1" applyAlignment="1">
      <x:alignment horizontal="left" vertical="center" wrapText="1"/>
    </x:xf>
    <x:xf numFmtId="200" fontId="1" fillId="16" borderId="2" xfId="0" applyNumberFormat="1" applyFont="1" applyFill="1" applyBorder="1" applyAlignment="1">
      <x:alignment horizontal="left" vertical="center" wrapText="1"/>
    </x:xf>
    <x:xf numFmtId="201" fontId="1" fillId="16" borderId="2" xfId="0" applyNumberFormat="1" applyFont="1" applyFill="1" applyBorder="1" applyAlignment="1">
      <x:alignment horizontal="left" vertical="center" wrapText="1"/>
    </x:xf>
    <x:xf numFmtId="201" fontId="1" fillId="6" borderId="2" xfId="0" applyNumberFormat="1" applyFont="1" applyFill="1" applyBorder="1" applyAlignment="1">
      <x:alignment horizontal="left" vertical="center" wrapText="1"/>
    </x:xf>
    <x:xf numFmtId="201" fontId="1" fillId="17" borderId="2" xfId="0" applyNumberFormat="1" applyFont="1" applyFill="1" applyBorder="1" applyAlignment="1">
      <x:alignment horizontal="left" vertical="center" wrapText="1"/>
    </x:xf>
    <x:xf numFmtId="0" fontId="1" fillId="17" borderId="2" xfId="0" applyNumberFormat="1" applyFont="1" applyFill="1" applyBorder="1" applyAlignment="1">
      <x:alignment horizontal="left"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horizontal="left" vertical="center" wrapText="1"/>
    </x:xf>
    <x:xf numFmtId="202" fontId="1" fillId="16" borderId="2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203" fontId="6" fillId="5" borderId="0" xfId="0" applyNumberFormat="1" applyFont="1" applyFill="1" applyBorder="1" applyAlignment="1">
      <x:alignment vertical="center" wrapText="1"/>
    </x:xf>
    <x:xf numFmtId="203" fontId="6" fillId="5" borderId="1" xfId="0" applyNumberFormat="1" applyFont="1" applyFill="1" applyBorder="1" applyAlignment="1">
      <x:alignment vertical="center" wrapText="1"/>
    </x:xf>
    <x:xf numFmtId="203" fontId="6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0C8461"/>
      </x:font>
      <x:fill>
        <x:patternFill patternType="solid">
          <x:bgColor rgb="FFE8F6F0"/>
        </x:patternFill>
      </x:fill>
    </x:dxf>
    <x:dxf>
      <x:font>
        <x:b/>
        <x:color rgb="FFC96A08"/>
      </x:font>
      <x:fill>
        <x:patternFill patternType="solid">
          <x:bgColor rgb="FFFFF3E3"/>
        </x:patternFill>
      </x:fill>
    </x:dxf>
    <x:dxf>
      <x:font>
        <x:b/>
        <x:color rgb="FFC63D3D"/>
      </x:font>
      <x:fill>
        <x:patternFill patternType="solid">
          <x:bgColor rgb="FFFCEBEC"/>
        </x:patternFill>
      </x:fill>
    </x:dxf>
    <x:dxf>
      <x:font>
        <x:b/>
        <x:color rgb="FFC63D3D"/>
      </x:font>
      <x:fill>
        <x:patternFill patternType="solid">
          <x:bgColor rgb="FFFCEBEC"/>
        </x:patternFill>
      </x:fill>
    </x:dxf>
    <x:dxf>
      <x:font>
        <x:b/>
        <x:color rgb="FF0C8461"/>
      </x:font>
      <x:fill>
        <x:patternFill patternType="solid">
          <x:bgColor rgb="FFE8F6F0"/>
        </x:patternFill>
      </x:fill>
    </x:dxf>
    <x:dxf>
      <x:font>
        <x:b/>
        <x:color rgb="FFC63D3D"/>
      </x:font>
      <x:fill>
        <x:patternFill patternType="solid">
          <x:bgColor rgb="FFFCEBEC"/>
        </x:patternFill>
      </x:fill>
    </x:dxf>
    <x:dxf>
      <x:font>
        <x:b/>
        <x:color rgb="FFC96A08"/>
      </x:font>
      <x:fill>
        <x:patternFill patternType="solid">
          <x:bgColor rgb="FFFFF3E3"/>
        </x:patternFill>
      </x:fill>
    </x:dxf>
    <x:dxf>
      <x:font>
        <x:b/>
        <x:color rgb="FF0C8461"/>
      </x:font>
      <x:fill>
        <x:patternFill patternType="solid">
          <x:bgColor rgb="FFE8F6F0"/>
        </x:patternFill>
      </x:fill>
    </x:dxf>
    <x:dxf>
      <x:font>
        <x:b/>
        <x:color rgb="FFC63D3D"/>
      </x:font>
      <x:fill>
        <x:patternFill patternType="solid">
          <x:bgColor rgb="FFFC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87c4ce6da4a2c" /><Relationship Type="http://schemas.openxmlformats.org/officeDocument/2006/relationships/theme" Target="/xl/theme/theme1.xml" Id="Rd44eb15a35654b71" /><Relationship Type="http://schemas.openxmlformats.org/officeDocument/2006/relationships/sharedStrings" Target="/xl/sharedStrings.xml" Id="Rc8760893e2f7455a" /><Relationship Type="http://schemas.openxmlformats.org/officeDocument/2006/relationships/worksheet" Target="/xl/worksheets/sheet1.xml" Id="R39ac1adfa4734747" /><Relationship Type="http://schemas.openxmlformats.org/officeDocument/2006/relationships/worksheet" Target="/xl/worksheets/sheet2.xml" Id="R934ac669745640fc" /><Relationship Type="http://schemas.openxmlformats.org/officeDocument/2006/relationships/worksheet" Target="/xl/worksheets/sheet3.xml" Id="R31aabce0ac3d423b" /><Relationship Type="http://schemas.openxmlformats.org/officeDocument/2006/relationships/worksheet" Target="/xl/worksheets/sheet4.xml" Id="R0e418764ec5d468f" /><Relationship Type="http://schemas.openxmlformats.org/officeDocument/2006/relationships/worksheet" Target="/xl/worksheets/sheet5.xml" Id="Recaa816637684459" /><Relationship Type="http://schemas.openxmlformats.org/officeDocument/2006/relationships/worksheet" Target="/xl/worksheets/sheet6.xml" Id="Re8c4aedf9f4c43d0" /><Relationship Type="http://schemas.openxmlformats.org/officeDocument/2006/relationships/worksheet" Target="/xl/worksheets/sheet7.xml" Id="R42accd5fecff448d" /><Relationship Type="http://schemas.openxmlformats.org/officeDocument/2006/relationships/worksheet" Target="/xl/worksheets/sheet8.xml" Id="Rd205c45d6c414f79" /><Relationship Type="http://schemas.openxmlformats.org/officeDocument/2006/relationships/worksheet" Target="/xl/worksheets/sheet9.xml" Id="R58d837361ea8462c" /><Relationship Type="http://schemas.openxmlformats.org/officeDocument/2006/relationships/worksheet" Target="/xl/worksheets/sheet10.xml" Id="Re7f8eaf503c04c3c" /><Relationship Type="http://schemas.openxmlformats.org/officeDocument/2006/relationships/worksheet" Target="/xl/worksheets/sheet11.xml" Id="R1edda91086f14c1a" /><Relationship Type="http://schemas.openxmlformats.org/officeDocument/2006/relationships/worksheet" Target="/xl/worksheets/sheet12.xml" Id="R2faf7467960049b7" /><Relationship Type="http://schemas.openxmlformats.org/officeDocument/2006/relationships/worksheet" Target="/xl/worksheets/sheet13.xml" Id="R27cc9e405c2f4166" /><Relationship Type="http://schemas.openxmlformats.org/officeDocument/2006/relationships/worksheet" Target="/xl/worksheets/sheet14.xml" Id="R5105d468a0d4401d" /><Relationship Type="http://schemas.openxmlformats.org/officeDocument/2006/relationships/worksheet" Target="/xl/worksheets/sheet15.xml" Id="R2b15369bdefb4375" /><Relationship Type="http://schemas.openxmlformats.org/officeDocument/2006/relationships/worksheet" Target="/xl/worksheets/sheet16.xml" Id="Rf73d43efe5dc4d39" /><Relationship Type="http://schemas.openxmlformats.org/officeDocument/2006/relationships/worksheet" Target="/xl/worksheets/sheet17.xml" Id="Rce641e178625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3" hidden="0" customWidth="1"/>
    <x:col min="4" max="4" width="23" hidden="0" customWidth="1"/>
    <x:col min="5" max="5" width="23" hidden="0" customWidth="1"/>
    <x:col min="6" max="6" width="20" hidden="0" customWidth="1"/>
    <x:col min="7" max="7" width="20" hidden="0" customWidth="1"/>
    <x:col min="8" max="8" width="21" hidden="0" customWidth="1"/>
    <x:col min="9" max="9" width="21" hidden="0" customWidth="1"/>
    <x:col min="10" max="10" width="22" hidden="0" customWidth="1"/>
  </x:cols>
  <x:sheetData>
    <x:row r="1" ht="34" customHeight="1">
      <x:c r="A1" s="6" t="str">
        <x:v>江苏传天羽经营管理全景简报框架 · 最终第四版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4" customHeight="1">
      <x:c r="A2" s="9" t="str">
        <x:v>日盯运营 · 周抓变化 · 月看经营 | HTML为完整主骨架，会议纪要与第五版仅作补充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8" customHeight="1">
      <x:c r="A3" s="11" t="str">
        <x:v>核心主线：经营结果 → 管理过程 → 重点事项 → 风险控制；AI智能体与纪律/数据责任作为双支撑。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6" customHeight="1">
      <x:c r="A5" s="14" t="str">
        <x:v>一、老板看什么</x:v>
      </x:c>
      <x:c r="B5" s="14"/>
      <x:c r="C5" s="14"/>
      <x:c r="D5" s="14"/>
      <x:c r="E5" s="14"/>
      <x:c r="F5" s="14"/>
      <x:c r="G5" s="14"/>
      <x:c r="H5" s="14"/>
      <x:c r="I5" s="14"/>
      <x:c r="J5" s="14"/>
    </x:row>
    <x:row r="6" ht="30" customHeight="1">
      <x:c r="A6" s="18" t="str">
        <x:v>序号</x:v>
      </x:c>
      <x:c r="B6" s="18" t="str">
        <x:v>核心层</x:v>
      </x:c>
      <x:c r="C6" s="18" t="str">
        <x:v>老板问题</x:v>
      </x:c>
      <x:c r="D6" s="18" t="str">
        <x:v>覆盖范围</x:v>
      </x:c>
      <x:c r="E6" s="18" t="str">
        <x:v>最终输出</x:v>
      </x:c>
      <x:c r="F6" s="18" t="str"/>
      <x:c r="G6" s="18" t="str"/>
      <x:c r="H6" s="18" t="str"/>
      <x:c r="I6" s="18" t="str"/>
      <x:c r="J6" s="18" t="str"/>
    </x:row>
    <x:row r="7" ht="42" customHeight="1">
      <x:c r="A7" s="24" t="str">
        <x:v>01</x:v>
      </x:c>
      <x:c r="B7" s="24" t="str">
        <x:v>经营数据</x:v>
      </x:c>
      <x:c r="C7" s="21" t="str">
        <x:v>公司卖了多少、赚了多少、目标进度如何</x:v>
      </x:c>
      <x:c r="D7" s="21"/>
      <x:c r="E7" s="21" t="str">
        <x:v>销售/毛利/达成/驱动/板块/库存资金</x:v>
      </x:c>
      <x:c r="F7" s="21"/>
      <x:c r="G7" s="21"/>
      <x:c r="H7" s="21" t="str">
        <x:v>结论、差距、原因、动作</x:v>
      </x:c>
      <x:c r="I7" s="21"/>
      <x:c r="J7" s="21"/>
    </x:row>
    <x:row r="8" ht="42" customHeight="1">
      <x:c r="A8" s="27" t="str">
        <x:v>02</x:v>
      </x:c>
      <x:c r="B8" s="27" t="str">
        <x:v>管理数据</x:v>
      </x:c>
      <x:c r="C8" s="21" t="str">
        <x:v>经营过程是否顺畅、组织是否支撑</x:v>
      </x:c>
      <x:c r="D8" s="21"/>
      <x:c r="E8" s="21" t="str">
        <x:v>物/人/外部资源/内部合规</x:v>
      </x:c>
      <x:c r="F8" s="21"/>
      <x:c r="G8" s="21"/>
      <x:c r="H8" s="21" t="str">
        <x:v>异常、责任、节点、证据</x:v>
      </x:c>
      <x:c r="I8" s="21"/>
      <x:c r="J8" s="21"/>
    </x:row>
    <x:row r="9" ht="42" customHeight="1">
      <x:c r="A9" s="30" t="str">
        <x:v>03</x:v>
      </x:c>
      <x:c r="B9" s="30" t="str">
        <x:v>重点事项</x:v>
      </x:c>
      <x:c r="C9" s="21" t="str">
        <x:v>公司最重要的事是否真正推进</x:v>
      </x:c>
      <x:c r="D9" s="21"/>
      <x:c r="E9" s="21" t="str">
        <x:v>开优质店/分货资源/人员效率/3001/项目闭环</x:v>
      </x:c>
      <x:c r="F9" s="21"/>
      <x:c r="G9" s="21"/>
      <x:c r="H9" s="21" t="str">
        <x:v>进度、下一节点、需决策</x:v>
      </x:c>
      <x:c r="I9" s="21"/>
      <x:c r="J9" s="21"/>
    </x:row>
    <x:row r="10" ht="42" customHeight="1">
      <x:c r="A10" s="33" t="str">
        <x:v>04</x:v>
      </x:c>
      <x:c r="B10" s="33" t="str">
        <x:v>风控</x:v>
      </x:c>
      <x:c r="C10" s="21" t="str">
        <x:v>风险是否识别、处置并关闭</x:v>
      </x:c>
      <x:c r="D10" s="21"/>
      <x:c r="E10" s="21" t="str">
        <x:v>资金/客户/定价/营销/收银结算/合规</x:v>
      </x:c>
      <x:c r="F10" s="21"/>
      <x:c r="G10" s="21"/>
      <x:c r="H10" s="21" t="str">
        <x:v>红黄分级、敞口、时限、验证</x:v>
      </x:c>
      <x:c r="I10" s="21"/>
      <x:c r="J10" s="21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6" customHeight="1">
      <x:c r="A12" s="36" t="str">
        <x:v>二、双支撑与运行节奏</x:v>
      </x:c>
      <x:c r="B12" s="36"/>
      <x:c r="C12" s="36"/>
      <x:c r="D12" s="36"/>
      <x:c r="E12" s="36"/>
      <x:c r="F12" s="36"/>
      <x:c r="G12" s="36"/>
      <x:c r="H12" s="36"/>
      <x:c r="I12" s="36"/>
      <x:c r="J12" s="36"/>
    </x:row>
    <x:row r="13" ht="30" customHeight="1">
      <x:c r="A13" s="18" t="str">
        <x:v>支撑层</x:v>
      </x:c>
      <x:c r="B13" s="18" t="str">
        <x:v>核心内容</x:v>
      </x:c>
      <x:c r="C13" s="18"/>
      <x:c r="D13" s="18"/>
      <x:c r="E13" s="18" t="str">
        <x:v>运行方式</x:v>
      </x:c>
      <x:c r="F13" s="18"/>
      <x:c r="G13" s="18"/>
      <x:c r="H13" s="18" t="str">
        <x:v>节奏/红线</x:v>
      </x:c>
      <x:c r="I13" s="18"/>
      <x:c r="J13" s="18"/>
    </x:row>
    <x:row r="14" ht="44" customHeight="1">
      <x:c r="A14" s="39" t="str">
        <x:v>AI智能体</x:v>
      </x:c>
      <x:c r="B14" s="21" t="str">
        <x:v>公司大智能体 + 岗位智能体 + 自动化任务</x:v>
      </x:c>
      <x:c r="C14" s="21"/>
      <x:c r="D14" s="21"/>
      <x:c r="E14" s="21" t="str">
        <x:v>自动取数/整理/提醒/推送；人工确认例外和结果</x:v>
      </x:c>
      <x:c r="F14" s="21"/>
      <x:c r="G14" s="21"/>
      <x:c r="H14" s="21" t="str">
        <x:v>一周搭建、二周使用、三周复盘</x:v>
      </x:c>
      <x:c r="I14" s="21"/>
      <x:c r="J14" s="21"/>
    </x:row>
    <x:row r="15" ht="44" customHeight="1">
      <x:c r="A15" s="42" t="str">
        <x:v>纪律与保障</x:v>
      </x:c>
      <x:c r="B15" s="21" t="str">
        <x:v>汇报纪律 + 数据责任 + 权限 + 复核</x:v>
      </x:c>
      <x:c r="C15" s="21"/>
      <x:c r="D15" s="21"/>
      <x:c r="E15" s="21" t="str">
        <x:v>有目标、有完成率、有复盘、有计划；缺失显式标记</x:v>
      </x:c>
      <x:c r="F15" s="21"/>
      <x:c r="G15" s="21"/>
      <x:c r="H15" s="21" t="str">
        <x:v>日报08:30、周一10:00、次月5日</x:v>
      </x:c>
      <x:c r="I15" s="21"/>
      <x:c r="J15" s="21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6" customHeight="1">
      <x:c r="A17" s="45" t="str">
        <x:v>三、日周月分层</x:v>
      </x:c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 ht="30" customHeight="1">
      <x:c r="A18" s="18" t="str">
        <x:v>周期</x:v>
      </x:c>
      <x:c r="B18" s="18" t="str">
        <x:v>管理目的</x:v>
      </x:c>
      <x:c r="C18" s="18"/>
      <x:c r="D18" s="18" t="str">
        <x:v>老板重点</x:v>
      </x:c>
      <x:c r="E18" s="18"/>
      <x:c r="F18" s="18" t="str">
        <x:v>比较口径</x:v>
      </x:c>
      <x:c r="G18" s="18"/>
      <x:c r="H18" s="18" t="str">
        <x:v>输出动作</x:v>
      </x:c>
      <x:c r="I18" s="18"/>
      <x:c r="J18" s="18" t="str">
        <x:v>呈报时间</x:v>
      </x:c>
    </x:row>
    <x:row r="19" ht="45" customHeight="1">
      <x:c r="A19" s="27" t="str">
        <x:v>日报</x:v>
      </x:c>
      <x:c r="B19" s="21" t="str">
        <x:v>看异常、抓当天动作</x:v>
      </x:c>
      <x:c r="C19" s="21"/>
      <x:c r="D19" s="21" t="str">
        <x:v>红灯/缺口/到期/需决策</x:v>
      </x:c>
      <x:c r="E19" s="21"/>
      <x:c r="F19" s="21" t="str">
        <x:v>目标进度、上周同日、数据状态</x:v>
      </x:c>
      <x:c r="G19" s="21"/>
      <x:c r="H19" s="21" t="str">
        <x:v>责任人+今日动作+完成节点</x:v>
      </x:c>
      <x:c r="I19" s="21"/>
      <x:c r="J19" s="21" t="str">
        <x:v>D+1 08:30</x:v>
      </x:c>
    </x:row>
    <x:row r="20" ht="45" customHeight="1">
      <x:c r="A20" s="27" t="str">
        <x:v>周报</x:v>
      </x:c>
      <x:c r="B20" s="21" t="str">
        <x:v>看变化、抓差距与闭环</x:v>
      </x:c>
      <x:c r="C20" s="21"/>
      <x:c r="D20" s="21" t="str">
        <x:v>趋势/驱动/排名/整改效果</x:v>
      </x:c>
      <x:c r="E20" s="21"/>
      <x:c r="F20" s="21" t="str">
        <x:v>上周、同比、近4周、月度进度</x:v>
      </x:c>
      <x:c r="G20" s="21"/>
      <x:c r="H20" s="21" t="str">
        <x:v>下周量化目标+资源需求</x:v>
      </x:c>
      <x:c r="I20" s="21"/>
      <x:c r="J20" s="21" t="str">
        <x:v>周一10:00</x:v>
      </x:c>
    </x:row>
    <x:row r="21" ht="45" customHeight="1">
      <x:c r="A21" s="27" t="str">
        <x:v>月报</x:v>
      </x:c>
      <x:c r="B21" s="21" t="str">
        <x:v>看全景、抓经营质量</x:v>
      </x:c>
      <x:c r="C21" s="21"/>
      <x:c r="D21" s="21" t="str">
        <x:v>损益/现金/资产/组织/战略</x:v>
      </x:c>
      <x:c r="E21" s="21"/>
      <x:c r="F21" s="21" t="str">
        <x:v>预算、同比、上月、滚动预测</x:v>
      </x:c>
      <x:c r="G21" s="21"/>
      <x:c r="H21" s="21" t="str">
        <x:v>资源配置+下月三项决策</x:v>
      </x:c>
      <x:c r="I21" s="21"/>
      <x:c r="J21" s="21" t="str">
        <x:v>次月5日前</x:v>
      </x:c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26" customHeight="1">
      <x:c r="A23" s="48" t="str">
        <x:v>四、当前业务边界与会议优先级</x:v>
      </x:c>
      <x:c r="B23" s="48"/>
      <x:c r="C23" s="48"/>
      <x:c r="D23" s="48"/>
      <x:c r="E23" s="48"/>
      <x:c r="F23" s="48"/>
      <x:c r="G23" s="48"/>
      <x:c r="H23" s="48"/>
      <x:c r="I23" s="48"/>
      <x:c r="J23" s="48"/>
    </x:row>
    <x:row r="24" ht="30" customHeight="1">
      <x:c r="A24" s="18" t="str">
        <x:v>四大经营板块</x:v>
      </x:c>
      <x:c r="B24" s="18" t="str">
        <x:v>APR门店</x:v>
      </x:c>
      <x:c r="C24" s="18" t="str">
        <x:v>Apple电商</x:v>
      </x:c>
      <x:c r="D24" s="18" t="str">
        <x:v>Shure电商</x:v>
      </x:c>
      <x:c r="E24" s="18" t="str">
        <x:v>3PP/渠道分销</x:v>
      </x:c>
      <x:c r="F24" s="18" t="str"/>
      <x:c r="G24" s="18" t="str"/>
      <x:c r="H24" s="18" t="str"/>
      <x:c r="I24" s="18" t="str"/>
      <x:c r="J24" s="18" t="str"/>
    </x:row>
    <x:row r="25" ht="40" customHeight="1">
      <x:c r="A25" s="21" t="str">
        <x:v>实际范围</x:v>
      </x:c>
      <x:c r="B25" s="21" t="str">
        <x:v>线下授权门店</x:v>
      </x:c>
      <x:c r="C25" s="21" t="str">
        <x:v>京东羽通 / 苏宁啟韬</x:v>
      </x:c>
      <x:c r="D25" s="21" t="str">
        <x:v>京东官方旗舰店 / 天猫官方旗舰店</x:v>
      </x:c>
      <x:c r="E25" s="21" t="str">
        <x:v>客户/品牌/项目/分销</x:v>
      </x:c>
      <x:c r="F25" s="21" t="str"/>
      <x:c r="G25" s="21" t="str"/>
      <x:c r="H25" s="21" t="str"/>
      <x:c r="I25" s="21" t="str"/>
      <x:c r="J25" s="21" t="str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30" customHeight="1">
      <x:c r="A27" s="18" t="str">
        <x:v>会议优先级</x:v>
      </x:c>
      <x:c r="B27" s="18" t="str">
        <x:v>第一：开优质门店</x:v>
      </x:c>
      <x:c r="C27" s="18" t="str">
        <x:v>第二：厂商/总代分货资源</x:v>
      </x:c>
      <x:c r="D27" s="18" t="str">
        <x:v>第三：人员效率与能力建设</x:v>
      </x:c>
      <x:c r="E27" s="18" t="str">
        <x:v>专项：3001设备产品线</x:v>
      </x:c>
      <x:c r="F27" s="18" t="str"/>
      <x:c r="G27" s="18" t="str"/>
      <x:c r="H27" s="18" t="str"/>
      <x:c r="I27" s="18" t="str"/>
      <x:c r="J27" s="18" t="str"/>
    </x:row>
    <x:row r="28" ht="38" customHeight="1">
      <x:c r="A28" s="21" t="str">
        <x:v>评价原则</x:v>
      </x:c>
      <x:c r="B28" s="21" t="str">
        <x:v>结果为先</x:v>
      </x:c>
      <x:c r="C28" s="21" t="str">
        <x:v>口径统一</x:v>
      </x:c>
      <x:c r="D28" s="21" t="str">
        <x:v>异常必有动作</x:v>
      </x:c>
      <x:c r="E28" s="21" t="str">
        <x:v>决策必须闭环</x:v>
      </x:c>
      <x:c r="F28" s="21" t="str">
        <x:v>AI提升效率</x:v>
      </x:c>
      <x:c r="G28" s="21" t="str">
        <x:v>数据透明</x:v>
      </x:c>
      <x:c r="H28" s="21" t="str">
        <x:v>权限可控</x:v>
      </x:c>
      <x:c r="I28" s="21" t="str">
        <x:v>证据关闭</x:v>
      </x:c>
      <x:c r="J28" s="21" t="str">
        <x:v>不静默补数</x:v>
      </x:c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</x:sheetData>
  <x:mergeCells>
    <x:mergeCell ref="A1:J1"/>
    <x:mergeCell ref="A2:J2"/>
    <x:mergeCell ref="A3:J3"/>
    <x:mergeCell ref="A5:J5"/>
    <x:mergeCell ref="E6:J6"/>
    <x:mergeCell ref="C7:D7"/>
    <x:mergeCell ref="E7:G7"/>
    <x:mergeCell ref="H7:J7"/>
    <x:mergeCell ref="C8:D8"/>
    <x:mergeCell ref="E8:G8"/>
    <x:mergeCell ref="H8:J8"/>
    <x:mergeCell ref="C9:D9"/>
    <x:mergeCell ref="E9:G9"/>
    <x:mergeCell ref="H9:J9"/>
    <x:mergeCell ref="C10:D10"/>
    <x:mergeCell ref="E10:G10"/>
    <x:mergeCell ref="H10:J10"/>
    <x:mergeCell ref="A12:J12"/>
    <x:mergeCell ref="B13:D13"/>
    <x:mergeCell ref="E13:G13"/>
    <x:mergeCell ref="H13:J13"/>
    <x:mergeCell ref="B14:D14"/>
    <x:mergeCell ref="E14:G14"/>
    <x:mergeCell ref="H14:J14"/>
    <x:mergeCell ref="B15:D15"/>
    <x:mergeCell ref="E15:G15"/>
    <x:mergeCell ref="H15:J15"/>
    <x:mergeCell ref="A17:J17"/>
    <x:mergeCell ref="B18:C18"/>
    <x:mergeCell ref="D18:E18"/>
    <x:mergeCell ref="F18:G18"/>
    <x:mergeCell ref="H18:I18"/>
    <x:mergeCell ref="B19:C19"/>
    <x:mergeCell ref="D19:E19"/>
    <x:mergeCell ref="F19:G19"/>
    <x:mergeCell ref="H19:I19"/>
    <x:mergeCell ref="B20:C20"/>
    <x:mergeCell ref="D20:E20"/>
    <x:mergeCell ref="F20:G20"/>
    <x:mergeCell ref="H20:I20"/>
    <x:mergeCell ref="B21:C21"/>
    <x:mergeCell ref="D21:E21"/>
    <x:mergeCell ref="F21:G21"/>
    <x:mergeCell ref="H21:I21"/>
    <x:mergeCell ref="A23:J23"/>
    <x:mergeCell ref="E24:J24"/>
    <x:mergeCell ref="E25:J25"/>
    <x:mergeCell ref="E27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7" hidden="0" customWidth="1"/>
    <x:col min="4" max="4" width="16" hidden="0" customWidth="1"/>
    <x:col min="5" max="5" width="34" hidden="0" customWidth="1"/>
    <x:col min="6" max="6" width="54" hidden="0" customWidth="1"/>
    <x:col min="7" max="7" width="49" hidden="0" customWidth="1"/>
    <x:col min="8" max="8" width="30" hidden="0" customWidth="1"/>
    <x:col min="9" max="9" width="15" hidden="0" customWidth="1"/>
    <x:col min="10" max="10" width="15" hidden="0" customWidth="1"/>
    <x:col min="11" max="11" width="15" hidden="0" customWidth="1"/>
    <x:col min="12" max="12" width="31" hidden="0" customWidth="1"/>
  </x:cols>
  <x:sheetData>
    <x:row r="1" ht="34" customHeight="1">
      <x:c r="A1" s="6" t="str">
        <x:v>HTML全景框架 · 54节点完整承接表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24" customHeight="1">
      <x:c r="A2" s="9" t="str">
        <x:v>每一行对应HTML中的一个三级节点；原始节点与原始说明完整保留，其他文件只补充不覆盖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8" customHeight="1">
      <x:c r="A3" s="51" t="str">
        <x:v>完整性基线：6个一级层、18个二级模块、54个三级节点。最终校验见“15-完整性校验”。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</x:row>
    <x:row r="4" ht="30" customHeight="1">
      <x:c r="A4" s="18" t="str">
        <x:v>框架ID</x:v>
      </x:c>
      <x:c r="B4" s="18" t="str">
        <x:v>一级层</x:v>
      </x:c>
      <x:c r="C4" s="18" t="str">
        <x:v>二级模块</x:v>
      </x:c>
      <x:c r="D4" s="18" t="str">
        <x:v>原标签</x:v>
      </x:c>
      <x:c r="E4" s="18" t="str">
        <x:v>管理节点</x:v>
      </x:c>
      <x:c r="F4" s="18" t="str">
        <x:v>HTML原始说明（不可删）</x:v>
      </x:c>
      <x:c r="G4" s="18" t="str">
        <x:v>会议/第五版补充</x:v>
      </x:c>
      <x:c r="H4" s="18" t="str">
        <x:v>落地载体</x:v>
      </x:c>
      <x:c r="I4" s="18" t="str">
        <x:v>日报</x:v>
      </x:c>
      <x:c r="J4" s="18" t="str">
        <x:v>周报</x:v>
      </x:c>
      <x:c r="K4" s="18" t="str">
        <x:v>月报</x:v>
      </x:c>
      <x:c r="L4" s="18" t="str">
        <x:v>责任与复核</x:v>
      </x:c>
    </x:row>
    <x:row r="5" ht="54" customHeight="1">
      <x:c r="A5" s="24" t="str">
        <x:v>H1.1.1</x:v>
      </x:c>
      <x:c r="B5" s="23" t="str">
        <x:v>① 经营数据看板 · 公司经营结果</x:v>
      </x:c>
      <x:c r="C5" s="21" t="str">
        <x:v>老板一屏摘要</x:v>
      </x:c>
      <x:c r="D5" s="21" t="str">
        <x:v>一句话结论</x:v>
      </x:c>
      <x:c r="E5" s="21" t="str">
        <x:v>经营结论</x:v>
      </x:c>
      <x:c r="F5" s="21" t="str">
        <x:v>销售/毛利/目标进度/最大贡献板块/最大拖累因素 · 亮点异常各≤3项</x:v>
      </x:c>
      <x:c r="G5" s="21" t="str">
        <x:v>承接第五版经营指标、业务板块、指标口径和下钻附表。</x:v>
      </x:c>
      <x:c r="H5" s="21" t="str">
        <x:v>日/周/月主表 + 经营附表</x:v>
      </x:c>
      <x:c r="I5" s="52" t="str">
        <x:v>结果与异常</x:v>
      </x:c>
      <x:c r="J5" s="52" t="str">
        <x:v>趋势与驱动</x:v>
      </x:c>
      <x:c r="K5" s="52" t="str">
        <x:v>经营质量</x:v>
      </x:c>
      <x:c r="L5" s="21" t="str">
        <x:v>对应责任部门；总经办汇总</x:v>
      </x:c>
    </x:row>
    <x:row r="6" ht="54" customHeight="1">
      <x:c r="A6" s="24" t="str">
        <x:v>H1.1.2</x:v>
      </x:c>
      <x:c r="B6" s="23" t="str">
        <x:v>① 经营数据看板 · 公司经营结果</x:v>
      </x:c>
      <x:c r="C6" s="21" t="str">
        <x:v>老板一屏摘要</x:v>
      </x:c>
      <x:c r="D6" s="21" t="str">
        <x:v>需决策</x:v>
      </x:c>
      <x:c r="E6" s="21" t="str">
        <x:v>需老板决策</x:v>
      </x:c>
      <x:c r="F6" s="21" t="str">
        <x:v>事项/影响金额/方案A·B/责任人/最晚批复时间</x:v>
      </x:c>
      <x:c r="G6" s="21" t="str">
        <x:v>承接第五版经营指标、业务板块、指标口径和下钻附表。</x:v>
      </x:c>
      <x:c r="H6" s="21" t="str">
        <x:v>日/周/月主表 + 经营附表</x:v>
      </x:c>
      <x:c r="I6" s="52" t="str">
        <x:v>结果与异常</x:v>
      </x:c>
      <x:c r="J6" s="52" t="str">
        <x:v>趋势与驱动</x:v>
      </x:c>
      <x:c r="K6" s="52" t="str">
        <x:v>经营质量</x:v>
      </x:c>
      <x:c r="L6" s="21" t="str">
        <x:v>对应责任部门；总经办汇总</x:v>
      </x:c>
    </x:row>
    <x:row r="7" ht="54" customHeight="1">
      <x:c r="A7" s="24" t="str">
        <x:v>H1.1.3</x:v>
      </x:c>
      <x:c r="B7" s="23" t="str">
        <x:v>① 经营数据看板 · 公司经营结果</x:v>
      </x:c>
      <x:c r="C7" s="21" t="str">
        <x:v>老板一屏摘要</x:v>
      </x:c>
      <x:c r="D7" s="21" t="str">
        <x:v>重大异常</x:v>
      </x:c>
      <x:c r="E7" s="21" t="str">
        <x:v>重大异常</x:v>
      </x:c>
      <x:c r="F7" s="21" t="str">
        <x:v>红色风险/重大客诉舆情/平台处罚/资金数据异常；无则明示"无"</x:v>
      </x:c>
      <x:c r="G7" s="21" t="str">
        <x:v>承接第五版经营指标、业务板块、指标口径和下钻附表。</x:v>
      </x:c>
      <x:c r="H7" s="21" t="str">
        <x:v>日/周/月主表 + 经营附表</x:v>
      </x:c>
      <x:c r="I7" s="52" t="str">
        <x:v>结果与异常</x:v>
      </x:c>
      <x:c r="J7" s="52" t="str">
        <x:v>趋势与驱动</x:v>
      </x:c>
      <x:c r="K7" s="52" t="str">
        <x:v>经营质量</x:v>
      </x:c>
      <x:c r="L7" s="21" t="str">
        <x:v>对应责任部门；总经办汇总</x:v>
      </x:c>
    </x:row>
    <x:row r="8" ht="54" customHeight="1">
      <x:c r="A8" s="24" t="str">
        <x:v>H1.2.1</x:v>
      </x:c>
      <x:c r="B8" s="23" t="str">
        <x:v>① 经营数据看板 · 公司经营结果</x:v>
      </x:c>
      <x:c r="C8" s="21" t="str">
        <x:v>核心指标（日/周/月分层）</x:v>
      </x:c>
      <x:c r="D8" s="21" t="str">
        <x:v>收入质量</x:v>
      </x:c>
      <x:c r="E8" s="21" t="str">
        <x:v>实销收入 · 毛利额 · 毛利率 · 贡献毛利</x:v>
      </x:c>
      <x:c r="F8" s="21" t="str">
        <x:v>含税口径统一；补贴/返利计入规则确认；贡献毛利=毛利-可归属变动费用</x:v>
      </x:c>
      <x:c r="G8" s="21" t="str">
        <x:v>承接第五版经营指标、业务板块、指标口径和下钻附表。</x:v>
      </x:c>
      <x:c r="H8" s="21" t="str">
        <x:v>日/周/月主表 + 经营附表</x:v>
      </x:c>
      <x:c r="I8" s="52" t="str">
        <x:v>结果与异常</x:v>
      </x:c>
      <x:c r="J8" s="52" t="str">
        <x:v>趋势与驱动</x:v>
      </x:c>
      <x:c r="K8" s="52" t="str">
        <x:v>经营质量</x:v>
      </x:c>
      <x:c r="L8" s="21" t="str">
        <x:v>对应责任部门；总经办汇总</x:v>
      </x:c>
    </x:row>
    <x:row r="9" ht="54" customHeight="1">
      <x:c r="A9" s="24" t="str">
        <x:v>H1.2.2</x:v>
      </x:c>
      <x:c r="B9" s="23" t="str">
        <x:v>① 经营数据看板 · 公司经营结果</x:v>
      </x:c>
      <x:c r="C9" s="21" t="str">
        <x:v>核心指标（日/周/月分层）</x:v>
      </x:c>
      <x:c r="D9" s="21" t="str">
        <x:v>目标管理</x:v>
      </x:c>
      <x:c r="E9" s="21" t="str">
        <x:v>目标达成率 · 时间进度 · 月末滚动预测</x:v>
      </x:c>
      <x:c r="F9" s="21" t="str">
        <x:v>实际/目标/去年/上周并列；偏差按金额和百分点解释</x:v>
      </x:c>
      <x:c r="G9" s="21" t="str">
        <x:v>承接第五版经营指标、业务板块、指标口径和下钻附表。</x:v>
      </x:c>
      <x:c r="H9" s="21" t="str">
        <x:v>日/周/月主表 + 经营附表</x:v>
      </x:c>
      <x:c r="I9" s="52" t="str">
        <x:v>结果与异常</x:v>
      </x:c>
      <x:c r="J9" s="52" t="str">
        <x:v>趋势与驱动</x:v>
      </x:c>
      <x:c r="K9" s="52" t="str">
        <x:v>经营质量</x:v>
      </x:c>
      <x:c r="L9" s="21" t="str">
        <x:v>对应责任部门；总经办汇总</x:v>
      </x:c>
    </x:row>
    <x:row r="10" ht="54" customHeight="1">
      <x:c r="A10" s="24" t="str">
        <x:v>H1.2.3</x:v>
      </x:c>
      <x:c r="B10" s="23" t="str">
        <x:v>① 经营数据看板 · 公司经营结果</x:v>
      </x:c>
      <x:c r="C10" s="21" t="str">
        <x:v>核心指标（日/周/月分层）</x:v>
      </x:c>
      <x:c r="D10" s="21" t="str">
        <x:v>经营驱动</x:v>
      </x:c>
      <x:c r="E10" s="21" t="str">
        <x:v>客流×转化×客单（APR）/ UV×转化×客单（电商）</x:v>
      </x:c>
      <x:c r="F10" s="21" t="str">
        <x:v>用可解释驱动替代单纯环比；价格/销量/结构影响</x:v>
      </x:c>
      <x:c r="G10" s="21" t="str">
        <x:v>承接第五版经营指标、业务板块、指标口径和下钻附表。</x:v>
      </x:c>
      <x:c r="H10" s="21" t="str">
        <x:v>日/周/月主表 + 经营附表</x:v>
      </x:c>
      <x:c r="I10" s="52" t="str">
        <x:v>结果与异常</x:v>
      </x:c>
      <x:c r="J10" s="52" t="str">
        <x:v>趋势与驱动</x:v>
      </x:c>
      <x:c r="K10" s="52" t="str">
        <x:v>经营质量</x:v>
      </x:c>
      <x:c r="L10" s="21" t="str">
        <x:v>APR负责人/店长；总经办复核</x:v>
      </x:c>
    </x:row>
    <x:row r="11" ht="54" customHeight="1">
      <x:c r="A11" s="24" t="str">
        <x:v>H1.2.4</x:v>
      </x:c>
      <x:c r="B11" s="23" t="str">
        <x:v>① 经营数据看板 · 公司经营结果</x:v>
      </x:c>
      <x:c r="C11" s="21" t="str">
        <x:v>核心指标（日/周/月分层）</x:v>
      </x:c>
      <x:c r="D11" s="21" t="str">
        <x:v>四大板块</x:v>
      </x:c>
      <x:c r="E11" s="21" t="str">
        <x:v>APR门店 · Apple电商 · Shure电商 · 3PP/多渠道</x:v>
      </x:c>
      <x:c r="F11" s="21" t="str">
        <x:v>销售/毛利率/目标达成/增量贡献；公司合计与板块勾稽一致</x:v>
      </x:c>
      <x:c r="G11" s="21" t="str">
        <x:v>承接第五版经营指标、业务板块、指标口径和下钻附表。</x:v>
      </x:c>
      <x:c r="H11" s="21" t="str">
        <x:v>日/周/月主表 + 经营附表</x:v>
      </x:c>
      <x:c r="I11" s="52" t="str">
        <x:v>结果与异常</x:v>
      </x:c>
      <x:c r="J11" s="52" t="str">
        <x:v>趋势与驱动</x:v>
      </x:c>
      <x:c r="K11" s="52" t="str">
        <x:v>经营质量</x:v>
      </x:c>
      <x:c r="L11" s="21" t="str">
        <x:v>APR负责人/店长；总经办复核</x:v>
      </x:c>
    </x:row>
    <x:row r="12" ht="54" customHeight="1">
      <x:c r="A12" s="24" t="str">
        <x:v>H1.3.1</x:v>
      </x:c>
      <x:c r="B12" s="23" t="str">
        <x:v>① 经营数据看板 · 公司经营结果</x:v>
      </x:c>
      <x:c r="C12" s="21" t="str">
        <x:v>日报看异常（D+1 08:30呈报）</x:v>
      </x:c>
      <x:c r="D12" s="21" t="str">
        <x:v>门店/渠道</x:v>
      </x:c>
      <x:c r="E12" s="21" t="str">
        <x:v>APR门店TOP3·末位 · 两渠道电商异常</x:v>
      </x:c>
      <x:c r="F12" s="21" t="str">
        <x:v>销售/完成率/毛利/客流/转化/客单/配件连带；点名店长给当日动作</x:v>
      </x:c>
      <x:c r="G12" s="21" t="str">
        <x:v>承接第五版经营指标、业务板块、指标口径和下钻附表。</x:v>
      </x:c>
      <x:c r="H12" s="21" t="str">
        <x:v>日/周/月主表 + 经营附表</x:v>
      </x:c>
      <x:c r="I12" s="52" t="str">
        <x:v>必呈</x:v>
      </x:c>
      <x:c r="J12" s="52" t="str">
        <x:v>复盘</x:v>
      </x:c>
      <x:c r="K12" s="52" t="str">
        <x:v>汇总</x:v>
      </x:c>
      <x:c r="L12" s="21" t="str">
        <x:v>APR负责人/店长；总经办复核</x:v>
      </x:c>
    </x:row>
    <x:row r="13" ht="54" customHeight="1">
      <x:c r="A13" s="24" t="str">
        <x:v>H1.3.2</x:v>
      </x:c>
      <x:c r="B13" s="23" t="str">
        <x:v>① 经营数据看板 · 公司经营结果</x:v>
      </x:c>
      <x:c r="C13" s="21" t="str">
        <x:v>日报看异常（D+1 08:30呈报）</x:v>
      </x:c>
      <x:c r="D13" s="21" t="str">
        <x:v>库存资金</x:v>
      </x:c>
      <x:c r="E13" s="21" t="str">
        <x:v>库存健康 · 资金应收</x:v>
      </x:c>
      <x:c r="F13" s="21" t="str">
        <x:v>90天+/180天+/周转/缺货；逾期应收/预计回款/账实差异</x:v>
      </x:c>
      <x:c r="G13" s="21" t="str">
        <x:v>承接第五版经营指标、业务板块、指标口径和下钻附表。</x:v>
      </x:c>
      <x:c r="H13" s="21" t="str">
        <x:v>日/周/月主表 + 经营附表</x:v>
      </x:c>
      <x:c r="I13" s="52" t="str">
        <x:v>必呈</x:v>
      </x:c>
      <x:c r="J13" s="52" t="str">
        <x:v>复盘</x:v>
      </x:c>
      <x:c r="K13" s="52" t="str">
        <x:v>汇总</x:v>
      </x:c>
      <x:c r="L13" s="21" t="str">
        <x:v>财务/采销；总经办复核</x:v>
      </x:c>
    </x:row>
    <x:row r="14" ht="54" customHeight="1">
      <x:c r="A14" s="24" t="str">
        <x:v>H1.3.3</x:v>
      </x:c>
      <x:c r="B14" s="23" t="str">
        <x:v>① 经营数据看板 · 公司经营结果</x:v>
      </x:c>
      <x:c r="C14" s="21" t="str">
        <x:v>日报看异常（D+1 08:30呈报）</x:v>
      </x:c>
      <x:c r="D14" s="21" t="str">
        <x:v>管理摘要</x:v>
      </x:c>
      <x:c r="E14" s="21" t="str">
        <x:v>重点任务 · 组织异常 · 数据质量</x:v>
      </x:c>
      <x:c r="F14" s="21" t="str">
        <x:v>只报影响经营的例外；关键数据标暂估/确认/缺失</x:v>
      </x:c>
      <x:c r="G14" s="21" t="str">
        <x:v>承接第五版经营指标、业务板块、指标口径和下钻附表。</x:v>
      </x:c>
      <x:c r="H14" s="21" t="str">
        <x:v>日/周/月主表 + 经营附表</x:v>
      </x:c>
      <x:c r="I14" s="52" t="str">
        <x:v>必呈</x:v>
      </x:c>
      <x:c r="J14" s="52" t="str">
        <x:v>复盘</x:v>
      </x:c>
      <x:c r="K14" s="52" t="str">
        <x:v>汇总</x:v>
      </x:c>
      <x:c r="L14" s="21" t="str">
        <x:v>对应责任部门；总经办汇总</x:v>
      </x:c>
    </x:row>
    <x:row r="15" ht="54" customHeight="1">
      <x:c r="A15" s="24" t="str">
        <x:v>H1.4.1</x:v>
      </x:c>
      <x:c r="B15" s="23" t="str">
        <x:v>① 经营数据看板 · 公司经营结果</x:v>
      </x:c>
      <x:c r="C15" s="21" t="str">
        <x:v>周报看趋势 · 月报看全景</x:v>
      </x:c>
      <x:c r="D15" s="21" t="str">
        <x:v>周报</x:v>
      </x:c>
      <x:c r="E15" s="21" t="str">
        <x:v>收入利润趋势 · 增长驱动拆解 · 板块排名</x:v>
      </x:c>
      <x:c r="F15" s="21" t="str">
        <x:v>周一10:00呈报；费用与营销效率/库存营运资金/客户服务/重点事项闭环/下周部署</x:v>
      </x:c>
      <x:c r="G15" s="21" t="str">
        <x:v>承接第五版经营指标、业务板块、指标口径和下钻附表。</x:v>
      </x:c>
      <x:c r="H15" s="21" t="str">
        <x:v>日/周/月主表 + 经营附表</x:v>
      </x:c>
      <x:c r="I15" s="52" t="str">
        <x:v>异常</x:v>
      </x:c>
      <x:c r="J15" s="52" t="str">
        <x:v>必呈</x:v>
      </x:c>
      <x:c r="K15" s="52" t="str">
        <x:v>汇总</x:v>
      </x:c>
      <x:c r="L15" s="21" t="str">
        <x:v>对应责任部门；总经办汇总</x:v>
      </x:c>
    </x:row>
    <x:row r="16" ht="54" customHeight="1">
      <x:c r="A16" s="24" t="str">
        <x:v>H1.4.2</x:v>
      </x:c>
      <x:c r="B16" s="23" t="str">
        <x:v>① 经营数据看板 · 公司经营结果</x:v>
      </x:c>
      <x:c r="C16" s="21" t="str">
        <x:v>周报看趋势 · 月报看全景</x:v>
      </x:c>
      <x:c r="D16" s="21" t="str">
        <x:v>月报</x:v>
      </x:c>
      <x:c r="E16" s="21" t="str">
        <x:v>完整损益 · 预算滚动预测 · 板块经营质量</x:v>
      </x:c>
      <x:c r="F16" s="21" t="str">
        <x:v>次月5日前；现金流/库存质量/应收返利/集中度/组织效能/战略项目/内控合规/管理承诺</x:v>
      </x:c>
      <x:c r="G16" s="21" t="str">
        <x:v>承接第五版经营指标、业务板块、指标口径和下钻附表。</x:v>
      </x:c>
      <x:c r="H16" s="21" t="str">
        <x:v>日/周/月主表 + 经营附表</x:v>
      </x:c>
      <x:c r="I16" s="52" t="str">
        <x:v>异常</x:v>
      </x:c>
      <x:c r="J16" s="52" t="str">
        <x:v>必呈</x:v>
      </x:c>
      <x:c r="K16" s="52" t="str">
        <x:v>汇总</x:v>
      </x:c>
      <x:c r="L16" s="21" t="str">
        <x:v>对应责任部门；总经办汇总</x:v>
      </x:c>
    </x:row>
    <x:row r="17" ht="54" customHeight="1">
      <x:c r="A17" s="42" t="str">
        <x:v>H2.1.1</x:v>
      </x:c>
      <x:c r="B17" s="41" t="str">
        <x:v>围绕业务流程：物 · 人 · 外部 · 合规</x:v>
      </x:c>
      <x:c r="C17" s="21" t="str">
        <x:v>商品与流程</x:v>
      </x:c>
      <x:c r="D17" s="21" t="str">
        <x:v>采→销</x:v>
      </x:c>
      <x:c r="E17" s="21" t="str">
        <x:v>采购订单 → 商品规划 → 产品流转</x:v>
      </x:c>
      <x:c r="F17" s="21" t="str">
        <x:v>从采购到销售、中间流转流程按业务节点分清楚</x:v>
      </x:c>
      <x:c r="G17" s="21" t="str">
        <x:v>按HTML主框架保留，并由对应专题表承接。</x:v>
      </x:c>
      <x:c r="H17" s="21" t="str">
        <x:v>运行纪律表 + 数据责任时效表</x:v>
      </x:c>
      <x:c r="I17" s="52" t="str">
        <x:v>结果与异常</x:v>
      </x:c>
      <x:c r="J17" s="52" t="str">
        <x:v>趋势与驱动</x:v>
      </x:c>
      <x:c r="K17" s="52" t="str">
        <x:v>经营质量</x:v>
      </x:c>
      <x:c r="L17" s="21" t="str">
        <x:v>采销/商务；业务负责人</x:v>
      </x:c>
    </x:row>
    <x:row r="18" ht="54" customHeight="1">
      <x:c r="A18" s="42" t="str">
        <x:v>H2.1.2</x:v>
      </x:c>
      <x:c r="B18" s="41" t="str">
        <x:v>围绕业务流程：物 · 人 · 外部 · 合规</x:v>
      </x:c>
      <x:c r="C18" s="21" t="str">
        <x:v>商品与流程</x:v>
      </x:c>
      <x:c r="D18" s="21" t="str">
        <x:v>资金</x:v>
      </x:c>
      <x:c r="E18" s="21" t="str">
        <x:v>资金流转 · 结算管理</x:v>
      </x:c>
      <x:c r="F18" s="21" t="str">
        <x:v>收/支两条线：合理支出管理 + 非正常支出风险管理</x:v>
      </x:c>
      <x:c r="G18" s="21" t="str">
        <x:v>按HTML主框架保留，并由对应专题表承接。</x:v>
      </x:c>
      <x:c r="H18" s="21" t="str">
        <x:v>运行纪律表 + 数据责任时效表</x:v>
      </x:c>
      <x:c r="I18" s="52" t="str">
        <x:v>结果与异常</x:v>
      </x:c>
      <x:c r="J18" s="52" t="str">
        <x:v>趋势与驱动</x:v>
      </x:c>
      <x:c r="K18" s="52" t="str">
        <x:v>经营质量</x:v>
      </x:c>
      <x:c r="L18" s="21" t="str">
        <x:v>财务/采销；总经办复核</x:v>
      </x:c>
    </x:row>
    <x:row r="19" ht="54" customHeight="1">
      <x:c r="A19" s="42" t="str">
        <x:v>H2.1.3</x:v>
      </x:c>
      <x:c r="B19" s="41" t="str">
        <x:v>围绕业务流程：物 · 人 · 外部 · 合规</x:v>
      </x:c>
      <x:c r="C19" s="21" t="str">
        <x:v>商品与流程</x:v>
      </x:c>
      <x:c r="D19" s="21" t="str">
        <x:v>档案</x:v>
      </x:c>
      <x:c r="E19" s="21" t="str">
        <x:v>合同档案流转与归档</x:v>
      </x:c>
      <x:c r="F19" s="21" t="str">
        <x:v>合同节点、审批、归档可追溯</x:v>
      </x:c>
      <x:c r="G19" s="21" t="str">
        <x:v>按HTML主框架保留，并由对应专题表承接。</x:v>
      </x:c>
      <x:c r="H19" s="21" t="str">
        <x:v>运行纪律表 + 数据责任时效表</x:v>
      </x:c>
      <x:c r="I19" s="52" t="str">
        <x:v>结果与异常</x:v>
      </x:c>
      <x:c r="J19" s="52" t="str">
        <x:v>趋势与驱动</x:v>
      </x:c>
      <x:c r="K19" s="52" t="str">
        <x:v>经营质量</x:v>
      </x:c>
      <x:c r="L19" s="21" t="str">
        <x:v>责任部门；财务/总经办复核</x:v>
      </x:c>
    </x:row>
    <x:row r="20" ht="54" customHeight="1">
      <x:c r="A20" s="42" t="str">
        <x:v>H2.1.4</x:v>
      </x:c>
      <x:c r="B20" s="41" t="str">
        <x:v>围绕业务流程：物 · 人 · 外部 · 合规</x:v>
      </x:c>
      <x:c r="C20" s="21" t="str">
        <x:v>商品与流程</x:v>
      </x:c>
      <x:c r="D20" s="21" t="str">
        <x:v>门店</x:v>
      </x:c>
      <x:c r="E20" s="21" t="str">
        <x:v>拓店 · 升级装修 · 续约 · 新签</x:v>
      </x:c>
      <x:c r="F20" s="21" t="str">
        <x:v>每年都会遇到需执行的事项；门店生命周期管理</x:v>
      </x:c>
      <x:c r="G20" s="21" t="str">
        <x:v>按HTML主框架保留，并由对应专题表承接。</x:v>
      </x:c>
      <x:c r="H20" s="21" t="str">
        <x:v>运行纪律表 + 数据责任时效表</x:v>
      </x:c>
      <x:c r="I20" s="52" t="str">
        <x:v>结果与异常</x:v>
      </x:c>
      <x:c r="J20" s="52" t="str">
        <x:v>趋势与驱动</x:v>
      </x:c>
      <x:c r="K20" s="52" t="str">
        <x:v>经营质量</x:v>
      </x:c>
      <x:c r="L20" s="21" t="str">
        <x:v>责任部门；财务/总经办复核</x:v>
      </x:c>
    </x:row>
    <x:row r="21" ht="54" customHeight="1">
      <x:c r="A21" s="42" t="str">
        <x:v>H2.1.5</x:v>
      </x:c>
      <x:c r="B21" s="41" t="str">
        <x:v>围绕业务流程：物 · 人 · 外部 · 合规</x:v>
      </x:c>
      <x:c r="C21" s="21" t="str">
        <x:v>商品与流程</x:v>
      </x:c>
      <x:c r="D21" s="21" t="str">
        <x:v>库存返利</x:v>
      </x:c>
      <x:c r="E21" s="21" t="str">
        <x:v>库存管理 · 返利管理</x:v>
      </x:c>
      <x:c r="F21" s="21" t="str">
        <x:v>日常运营细化：库存周转、量级管理、物料管理、返利跟进</x:v>
      </x:c>
      <x:c r="G21" s="21" t="str">
        <x:v>按HTML主框架保留，并由对应专题表承接。</x:v>
      </x:c>
      <x:c r="H21" s="21" t="str">
        <x:v>运行纪律表 + 数据责任时效表</x:v>
      </x:c>
      <x:c r="I21" s="52" t="str">
        <x:v>结果与异常</x:v>
      </x:c>
      <x:c r="J21" s="52" t="str">
        <x:v>趋势与驱动</x:v>
      </x:c>
      <x:c r="K21" s="52" t="str">
        <x:v>经营质量</x:v>
      </x:c>
      <x:c r="L21" s="21" t="str">
        <x:v>财务/采销；总经办复核</x:v>
      </x:c>
    </x:row>
    <x:row r="22" ht="54" customHeight="1">
      <x:c r="A22" s="42" t="str">
        <x:v>H2.2.1</x:v>
      </x:c>
      <x:c r="B22" s="41" t="str">
        <x:v>围绕业务流程：物 · 人 · 外部 · 合规</x:v>
      </x:c>
      <x:c r="C22" s="21" t="str">
        <x:v>人员与组织</x:v>
      </x:c>
      <x:c r="D22" s="21" t="str">
        <x:v>编制</x:v>
      </x:c>
      <x:c r="E22" s="21" t="str">
        <x:v>人员规划 · 达标情况 · 缺编</x:v>
      </x:c>
      <x:c r="F22" s="21" t="str">
        <x:v>门店员工→店长→总部，每个岗位目标明确</x:v>
      </x:c>
      <x:c r="G22" s="21" t="str">
        <x:v>按HTML主框架保留，并由对应专题表承接。</x:v>
      </x:c>
      <x:c r="H22" s="21" t="str">
        <x:v>运行纪律表 + 数据责任时效表</x:v>
      </x:c>
      <x:c r="I22" s="52" t="str">
        <x:v>结果与异常</x:v>
      </x:c>
      <x:c r="J22" s="52" t="str">
        <x:v>趋势与驱动</x:v>
      </x:c>
      <x:c r="K22" s="52" t="str">
        <x:v>经营质量</x:v>
      </x:c>
      <x:c r="L22" s="21" t="str">
        <x:v>综合办/人事；业务负责人</x:v>
      </x:c>
    </x:row>
    <x:row r="23" ht="54" customHeight="1">
      <x:c r="A23" s="42" t="str">
        <x:v>H2.2.2</x:v>
      </x:c>
      <x:c r="B23" s="41" t="str">
        <x:v>围绕业务流程：物 · 人 · 外部 · 合规</x:v>
      </x:c>
      <x:c r="C23" s="21" t="str">
        <x:v>人员与组织</x:v>
      </x:c>
      <x:c r="D23" s="21" t="str">
        <x:v>匹配</x:v>
      </x:c>
      <x:c r="E23" s="21" t="str">
        <x:v>人员能力与岗位匹配度</x:v>
      </x:c>
      <x:c r="F23" s="21" t="str">
        <x:v>每个人的定位分析清楚，做团队建设与有效安排</x:v>
      </x:c>
      <x:c r="G23" s="21" t="str">
        <x:v>按HTML主框架保留，并由对应专题表承接。</x:v>
      </x:c>
      <x:c r="H23" s="21" t="str">
        <x:v>运行纪律表 + 数据责任时效表</x:v>
      </x:c>
      <x:c r="I23" s="52" t="str">
        <x:v>结果与异常</x:v>
      </x:c>
      <x:c r="J23" s="52" t="str">
        <x:v>趋势与驱动</x:v>
      </x:c>
      <x:c r="K23" s="52" t="str">
        <x:v>经营质量</x:v>
      </x:c>
      <x:c r="L23" s="21" t="str">
        <x:v>综合办/人事；业务负责人</x:v>
      </x:c>
    </x:row>
    <x:row r="24" ht="54" customHeight="1">
      <x:c r="A24" s="42" t="str">
        <x:v>H2.2.3</x:v>
      </x:c>
      <x:c r="B24" s="41" t="str">
        <x:v>围绕业务流程：物 · 人 · 外部 · 合规</x:v>
      </x:c>
      <x:c r="C24" s="21" t="str">
        <x:v>人员与组织</x:v>
      </x:c>
      <x:c r="D24" s="21" t="str">
        <x:v>人效</x:v>
      </x:c>
      <x:c r="E24" s="21" t="str">
        <x:v>业绩概况 · 状态 · 人效/人均毛利</x:v>
      </x:c>
      <x:c r="F24" s="21" t="str">
        <x:v>优秀人员与一般人员差距巨大；人效口径一致</x:v>
      </x:c>
      <x:c r="G24" s="21" t="str">
        <x:v>会议明确第三优先级；用人均销售、人均毛利、同岗差距和培养结果衡量。</x:v>
      </x:c>
      <x:c r="H24" s="21" t="str">
        <x:v>运行纪律表 + 数据责任时效表</x:v>
      </x:c>
      <x:c r="I24" s="52" t="str">
        <x:v>结果与异常</x:v>
      </x:c>
      <x:c r="J24" s="52" t="str">
        <x:v>趋势与驱动</x:v>
      </x:c>
      <x:c r="K24" s="52" t="str">
        <x:v>经营质量</x:v>
      </x:c>
      <x:c r="L24" s="21" t="str">
        <x:v>综合办/人事；业务负责人</x:v>
      </x:c>
    </x:row>
    <x:row r="25" ht="54" customHeight="1">
      <x:c r="A25" s="42" t="str">
        <x:v>H2.2.4</x:v>
      </x:c>
      <x:c r="B25" s="41" t="str">
        <x:v>围绕业务流程：物 · 人 · 外部 · 合规</x:v>
      </x:c>
      <x:c r="C25" s="21" t="str">
        <x:v>人员与组织</x:v>
      </x:c>
      <x:c r="D25" s="21" t="str">
        <x:v>成长</x:v>
      </x:c>
      <x:c r="E25" s="21" t="str">
        <x:v>招聘选择 → 培训 → 技能升级 → 内部竞赛</x:v>
      </x:c>
      <x:c r="F25" s="21" t="str">
        <x:v>新人/老人技能持续升级、自我学习</x:v>
      </x:c>
      <x:c r="G25" s="21" t="str">
        <x:v>按HTML主框架保留，并由对应专题表承接。</x:v>
      </x:c>
      <x:c r="H25" s="21" t="str">
        <x:v>运行纪律表 + 数据责任时效表</x:v>
      </x:c>
      <x:c r="I25" s="52" t="str">
        <x:v>结果与异常</x:v>
      </x:c>
      <x:c r="J25" s="52" t="str">
        <x:v>趋势与驱动</x:v>
      </x:c>
      <x:c r="K25" s="52" t="str">
        <x:v>经营质量</x:v>
      </x:c>
      <x:c r="L25" s="21" t="str">
        <x:v>综合办/人事；业务负责人</x:v>
      </x:c>
    </x:row>
    <x:row r="26" ht="54" customHeight="1">
      <x:c r="A26" s="42" t="str">
        <x:v>H2.3.1</x:v>
      </x:c>
      <x:c r="B26" s="41" t="str">
        <x:v>围绕业务流程：物 · 人 · 外部 · 合规</x:v>
      </x:c>
      <x:c r="C26" s="21" t="str">
        <x:v>供应商 · 客户 · 营商环境</x:v>
      </x:c>
      <x:c r="D26" s="21" t="str">
        <x:v>上游</x:v>
      </x:c>
      <x:c r="E26" s="21" t="str">
        <x:v>供应商资源整合沟通</x:v>
      </x:c>
      <x:c r="F26" s="21" t="str">
        <x:v>苹果/总代供应商线（分货、厂商资源）</x:v>
      </x:c>
      <x:c r="G26" s="21" t="str">
        <x:v>会议明确第二优先级；同步跟踪厂商/总代沟通、资源承诺、实际到货及增量贡献。</x:v>
      </x:c>
      <x:c r="H26" s="21" t="str">
        <x:v>运行纪律表 + 数据责任时效表</x:v>
      </x:c>
      <x:c r="I26" s="52" t="str">
        <x:v>结果与异常</x:v>
      </x:c>
      <x:c r="J26" s="52" t="str">
        <x:v>趋势与驱动</x:v>
      </x:c>
      <x:c r="K26" s="52" t="str">
        <x:v>经营质量</x:v>
      </x:c>
      <x:c r="L26" s="21" t="str">
        <x:v>采销/商务；业务负责人</x:v>
      </x:c>
    </x:row>
    <x:row r="27" ht="54" customHeight="1">
      <x:c r="A27" s="42" t="str">
        <x:v>H2.3.2</x:v>
      </x:c>
      <x:c r="B27" s="41" t="str">
        <x:v>围绕业务流程：物 · 人 · 外部 · 合规</x:v>
      </x:c>
      <x:c r="C27" s="21" t="str">
        <x:v>供应商 · 客户 · 营商环境</x:v>
      </x:c>
      <x:c r="D27" s="21" t="str">
        <x:v>下游</x:v>
      </x:c>
      <x:c r="E27" s="21" t="str">
        <x:v>客户单位与业务关系</x:v>
      </x:c>
      <x:c r="F27" s="21" t="str">
        <x:v>如上海等大客户；资源整合与沟通</x:v>
      </x:c>
      <x:c r="G27" s="21" t="str">
        <x:v>按HTML主框架保留，并由对应专题表承接。</x:v>
      </x:c>
      <x:c r="H27" s="21" t="str">
        <x:v>运行纪律表 + 数据责任时效表</x:v>
      </x:c>
      <x:c r="I27" s="52" t="str">
        <x:v>结果与异常</x:v>
      </x:c>
      <x:c r="J27" s="52" t="str">
        <x:v>趋势与驱动</x:v>
      </x:c>
      <x:c r="K27" s="52" t="str">
        <x:v>经营质量</x:v>
      </x:c>
      <x:c r="L27" s="21" t="str">
        <x:v>采销/商务；业务负责人</x:v>
      </x:c>
    </x:row>
    <x:row r="28" ht="54" customHeight="1">
      <x:c r="A28" s="42" t="str">
        <x:v>H2.3.3</x:v>
      </x:c>
      <x:c r="B28" s="41" t="str">
        <x:v>围绕业务流程：物 · 人 · 外部 · 合规</x:v>
      </x:c>
      <x:c r="C28" s="21" t="str">
        <x:v>供应商 · 客户 · 营商环境</x:v>
      </x:c>
      <x:c r="D28" s="21" t="str">
        <x:v>环境</x:v>
      </x:c>
      <x:c r="E28" s="21" t="str">
        <x:v>外围营商环境</x:v>
      </x:c>
      <x:c r="F28" s="21" t="str">
        <x:v>市场/商圈/竞品环境跟踪</x:v>
      </x:c>
      <x:c r="G28" s="21" t="str">
        <x:v>按HTML主框架保留，并由对应专题表承接。</x:v>
      </x:c>
      <x:c r="H28" s="21" t="str">
        <x:v>运行纪律表 + 数据责任时效表</x:v>
      </x:c>
      <x:c r="I28" s="52" t="str">
        <x:v>结果与异常</x:v>
      </x:c>
      <x:c r="J28" s="52" t="str">
        <x:v>趋势与驱动</x:v>
      </x:c>
      <x:c r="K28" s="52" t="str">
        <x:v>经营质量</x:v>
      </x:c>
      <x:c r="L28" s="21" t="str">
        <x:v>采销/商务；业务负责人</x:v>
      </x:c>
    </x:row>
    <x:row r="29" ht="54" customHeight="1">
      <x:c r="A29" s="42" t="str">
        <x:v>H2.4.1</x:v>
      </x:c>
      <x:c r="B29" s="41" t="str">
        <x:v>围绕业务流程：物 · 人 · 外部 · 合规</x:v>
      </x:c>
      <x:c r="C29" s="21" t="str">
        <x:v>内部合规流程</x:v>
      </x:c>
      <x:c r="D29" s="21" t="str">
        <x:v>考勤制度</x:v>
      </x:c>
      <x:c r="E29" s="21" t="str">
        <x:v>考勤 · 制度执行</x:v>
      </x:c>
      <x:c r="F29" s="21" t="str">
        <x:v>从最基础开始回溯人员情况</x:v>
      </x:c>
      <x:c r="G29" s="21" t="str">
        <x:v>按HTML主框架保留，并由对应专题表承接。</x:v>
      </x:c>
      <x:c r="H29" s="21" t="str">
        <x:v>运行纪律表 + 数据责任时效表</x:v>
      </x:c>
      <x:c r="I29" s="52" t="str">
        <x:v>结果与异常</x:v>
      </x:c>
      <x:c r="J29" s="52" t="str">
        <x:v>趋势与驱动</x:v>
      </x:c>
      <x:c r="K29" s="52" t="str">
        <x:v>经营质量</x:v>
      </x:c>
      <x:c r="L29" s="21" t="str">
        <x:v>综合办/人事；业务负责人</x:v>
      </x:c>
    </x:row>
    <x:row r="30" ht="54" customHeight="1">
      <x:c r="A30" s="42" t="str">
        <x:v>H2.4.2</x:v>
      </x:c>
      <x:c r="B30" s="41" t="str">
        <x:v>围绕业务流程：物 · 人 · 外部 · 合规</x:v>
      </x:c>
      <x:c r="C30" s="21" t="str">
        <x:v>内部合规流程</x:v>
      </x:c>
      <x:c r="D30" s="21" t="str">
        <x:v>经营纪律</x:v>
      </x:c>
      <x:c r="E30" s="21" t="str">
        <x:v>负毛利/低价订单 · 越权审批 · 盘点差异</x:v>
      </x:c>
      <x:c r="F30" s="21" t="str">
        <x:v>按制度阈值和授权清单判断，证据优先</x:v>
      </x:c>
      <x:c r="G30" s="21" t="str">
        <x:v>按HTML主框架保留，并由对应专题表承接。</x:v>
      </x:c>
      <x:c r="H30" s="21" t="str">
        <x:v>运行纪律表 + 数据责任时效表</x:v>
      </x:c>
      <x:c r="I30" s="52" t="str">
        <x:v>结果与异常</x:v>
      </x:c>
      <x:c r="J30" s="52" t="str">
        <x:v>趋势与驱动</x:v>
      </x:c>
      <x:c r="K30" s="52" t="str">
        <x:v>经营质量</x:v>
      </x:c>
      <x:c r="L30" s="21" t="str">
        <x:v>责任部门；财务/总经办复核</x:v>
      </x:c>
    </x:row>
    <x:row r="31" ht="68" customHeight="1">
      <x:c r="A31" s="42" t="str">
        <x:v>H3.1.1</x:v>
      </x:c>
      <x:c r="B31" s="41" t="str">
        <x:v>单独列出 · 落实跟进 · 对应决策</x:v>
      </x:c>
      <x:c r="C31" s="21" t="str">
        <x:v>苹果产品 · 线下三大重点</x:v>
      </x:c>
      <x:c r="D31" s="21" t="str">
        <x:v>开优质店</x:v>
      </x:c>
      <x:c r="E31" s="21" t="str">
        <x:v>开优质店铺（业务第一位）</x:v>
      </x:c>
      <x:c r="F31" s="21" t="str">
        <x:v>一年1个=进步，一季1个=很好，一月1个=很牛；好店5-10年=未来几个亿生意=5个岗位10年工作机会；标准：单店年均3000万（达均值即优秀），月销100万=有钱挣；现有前4家仅略高于大盘均值</x:v>
      </x:c>
      <x:c r="G31" s="21" t="str">
        <x:v>会议明确苹果线下第一优先级；按月销100万元、年销3000万元等经营标准持续验证店效。</x:v>
      </x:c>
      <x:c r="H31" s="21" t="str">
        <x:v>运行纪律表 + 数据责任时效表</x:v>
      </x:c>
      <x:c r="I31" s="52" t="str">
        <x:v>结果与异常</x:v>
      </x:c>
      <x:c r="J31" s="52" t="str">
        <x:v>趋势与驱动</x:v>
      </x:c>
      <x:c r="K31" s="52" t="str">
        <x:v>经营质量</x:v>
      </x:c>
      <x:c r="L31" s="21" t="str">
        <x:v>APR负责人/店长；总经办复核</x:v>
      </x:c>
    </x:row>
    <x:row r="32" ht="54" customHeight="1">
      <x:c r="A32" s="42" t="str">
        <x:v>H3.1.2</x:v>
      </x:c>
      <x:c r="B32" s="41" t="str">
        <x:v>单独列出 · 落实跟进 · 对应决策</x:v>
      </x:c>
      <x:c r="C32" s="21" t="str">
        <x:v>苹果产品 · 线下三大重点</x:v>
      </x:c>
      <x:c r="D32" s="21" t="str">
        <x:v>分货资源</x:v>
      </x:c>
      <x:c r="E32" s="21" t="str">
        <x:v>分货 · 厂商资源沟通</x:v>
      </x:c>
      <x:c r="F32" s="21" t="str">
        <x:v>苹果+总代供应商线为核心；找店+找产品两条线；资源分配最重要</x:v>
      </x:c>
      <x:c r="G32" s="21" t="str">
        <x:v>会议明确第二优先级；同步跟踪厂商/总代沟通、资源承诺、实际到货及增量贡献。</x:v>
      </x:c>
      <x:c r="H32" s="21" t="str">
        <x:v>运行纪律表 + 数据责任时效表</x:v>
      </x:c>
      <x:c r="I32" s="52" t="str">
        <x:v>结果与异常</x:v>
      </x:c>
      <x:c r="J32" s="52" t="str">
        <x:v>趋势与驱动</x:v>
      </x:c>
      <x:c r="K32" s="52" t="str">
        <x:v>经营质量</x:v>
      </x:c>
      <x:c r="L32" s="21" t="str">
        <x:v>采销/商务；业务负责人</x:v>
      </x:c>
    </x:row>
    <x:row r="33" ht="54" customHeight="1">
      <x:c r="A33" s="42" t="str">
        <x:v>H3.1.3</x:v>
      </x:c>
      <x:c r="B33" s="41" t="str">
        <x:v>单独列出 · 落实跟进 · 对应决策</x:v>
      </x:c>
      <x:c r="C33" s="21" t="str">
        <x:v>苹果产品 · 线下三大重点</x:v>
      </x:c>
      <x:c r="D33" s="21" t="str">
        <x:v>人员效率</x:v>
      </x:c>
      <x:c r="E33" s="21" t="str">
        <x:v>人员工作效率</x:v>
      </x:c>
      <x:c r="F33" s="21" t="str">
        <x:v>优秀vs一般人员差距巨大（收入差30%+）；招聘选择→培训→技能升级→内部竞赛</x:v>
      </x:c>
      <x:c r="G33" s="21" t="str">
        <x:v>会议明确第三优先级；用人均销售、人均毛利、同岗差距和培养结果衡量。</x:v>
      </x:c>
      <x:c r="H33" s="21" t="str">
        <x:v>运行纪律表 + 数据责任时效表</x:v>
      </x:c>
      <x:c r="I33" s="52" t="str">
        <x:v>结果与异常</x:v>
      </x:c>
      <x:c r="J33" s="52" t="str">
        <x:v>趋势与驱动</x:v>
      </x:c>
      <x:c r="K33" s="52" t="str">
        <x:v>经营质量</x:v>
      </x:c>
      <x:c r="L33" s="21" t="str">
        <x:v>综合办/人事；业务负责人</x:v>
      </x:c>
    </x:row>
    <x:row r="34" ht="54" customHeight="1">
      <x:c r="A34" s="42" t="str">
        <x:v>H3.2.1</x:v>
      </x:c>
      <x:c r="B34" s="41" t="str">
        <x:v>单独列出 · 落实跟进 · 对应决策</x:v>
      </x:c>
      <x:c r="C34" s="21" t="str">
        <x:v>3001设备产品线</x:v>
      </x:c>
      <x:c r="D34" s="21" t="str">
        <x:v>全链路</x:v>
      </x:c>
      <x:c r="E34" s="21" t="str">
        <x:v>从采购到销售 · 营销推广</x:v>
      </x:c>
      <x:c r="F34" s="21" t="str">
        <x:v>周周推荐产品线；按产品/品牌/项目跟踪</x:v>
      </x:c>
      <x:c r="G34" s="21" t="str">
        <x:v>按HTML主框架保留，并由对应专题表承接。</x:v>
      </x:c>
      <x:c r="H34" s="21" t="str">
        <x:v>运行纪律表 + 数据责任时效表</x:v>
      </x:c>
      <x:c r="I34" s="52" t="str">
        <x:v>结果与异常</x:v>
      </x:c>
      <x:c r="J34" s="52" t="str">
        <x:v>趋势与驱动</x:v>
      </x:c>
      <x:c r="K34" s="52" t="str">
        <x:v>经营质量</x:v>
      </x:c>
      <x:c r="L34" s="21" t="str">
        <x:v>采销/商务；业务负责人</x:v>
      </x:c>
    </x:row>
    <x:row r="35" ht="54" customHeight="1">
      <x:c r="A35" s="42" t="str">
        <x:v>H3.3.1</x:v>
      </x:c>
      <x:c r="B35" s="41" t="str">
        <x:v>单独列出 · 落实跟进 · 对应决策</x:v>
      </x:c>
      <x:c r="C35" s="21" t="str">
        <x:v>重点事项台账</x:v>
      </x:c>
      <x:c r="D35" s="21" t="str">
        <x:v>事项管理</x:v>
      </x:c>
      <x:c r="E35" s="21" t="str">
        <x:v>唯一ID · 原截止日不覆盖 · 关闭有验证证据</x:v>
      </x:c>
      <x:c r="F35" s="21" t="str">
        <x:v>进度落后时间进度10pp关注、20pp或逾期预警；未完成滚入下周</x:v>
      </x:c>
      <x:c r="G35" s="21" t="str">
        <x:v>按HTML主框架保留，并由对应专题表承接。</x:v>
      </x:c>
      <x:c r="H35" s="21" t="str">
        <x:v>运行纪律表 + 数据责任时效表</x:v>
      </x:c>
      <x:c r="I35" s="52" t="str">
        <x:v>结果与异常</x:v>
      </x:c>
      <x:c r="J35" s="52" t="str">
        <x:v>趋势与驱动</x:v>
      </x:c>
      <x:c r="K35" s="52" t="str">
        <x:v>经营质量</x:v>
      </x:c>
      <x:c r="L35" s="21" t="str">
        <x:v>对应责任部门；总经办汇总</x:v>
      </x:c>
    </x:row>
    <x:row r="36" ht="54" customHeight="1">
      <x:c r="A36" s="42" t="str">
        <x:v>H3.3.2</x:v>
      </x:c>
      <x:c r="B36" s="41" t="str">
        <x:v>单独列出 · 落实跟进 · 对应决策</x:v>
      </x:c>
      <x:c r="C36" s="21" t="str">
        <x:v>重点事项台账</x:v>
      </x:c>
      <x:c r="D36" s="21" t="str">
        <x:v>批复闭环</x:v>
      </x:c>
      <x:c r="E36" s="21" t="str">
        <x:v>老板批复 → 执行 → 验证结果</x:v>
      </x:c>
      <x:c r="F36" s="21" t="str">
        <x:v>批复必须关联事项ID；未确认或逾期自动升级</x:v>
      </x:c>
      <x:c r="G36" s="21" t="str">
        <x:v>按HTML主框架保留，并由对应专题表承接。</x:v>
      </x:c>
      <x:c r="H36" s="21" t="str">
        <x:v>运行纪律表 + 数据责任时效表</x:v>
      </x:c>
      <x:c r="I36" s="52" t="str">
        <x:v>结果与异常</x:v>
      </x:c>
      <x:c r="J36" s="52" t="str">
        <x:v>趋势与驱动</x:v>
      </x:c>
      <x:c r="K36" s="52" t="str">
        <x:v>经营质量</x:v>
      </x:c>
      <x:c r="L36" s="21" t="str">
        <x:v>对应责任部门；总经办汇总</x:v>
      </x:c>
    </x:row>
    <x:row r="37" ht="54" customHeight="1">
      <x:c r="A37" s="33" t="str">
        <x:v>H4.1.1</x:v>
      </x:c>
      <x:c r="B37" s="32" t="str">
        <x:v>线上线下整体运转风控点</x:v>
      </x:c>
      <x:c r="C37" s="21" t="str">
        <x:v>六大风控点</x:v>
      </x:c>
      <x:c r="D37" s="21" t="str">
        <x:v>资金</x:v>
      </x:c>
      <x:c r="E37" s="21" t="str">
        <x:v>资金风控 · 异常退款 · 账实差异</x:v>
      </x:c>
      <x:c r="F37" s="21" t="str">
        <x:v>单笔/当日累计超阈值即核查；冻结-核对-升级</x:v>
      </x:c>
      <x:c r="G37" s="21" t="str">
        <x:v>进入红黄风险规则与升级路径；事件类重大风险不受金额阈值限制。</x:v>
      </x:c>
      <x:c r="H37" s="21" t="str">
        <x:v>风险台账 + 红黄预警规则</x:v>
      </x:c>
      <x:c r="I37" s="52" t="str">
        <x:v>事件触发/异常</x:v>
      </x:c>
      <x:c r="J37" s="52" t="str">
        <x:v>变化与闭环</x:v>
      </x:c>
      <x:c r="K37" s="52" t="str">
        <x:v>全景复盘</x:v>
      </x:c>
      <x:c r="L37" s="21" t="str">
        <x:v>财务/采销；总经办复核</x:v>
      </x:c>
    </x:row>
    <x:row r="38" ht="54" customHeight="1">
      <x:c r="A38" s="33" t="str">
        <x:v>H4.1.2</x:v>
      </x:c>
      <x:c r="B38" s="32" t="str">
        <x:v>线上线下整体运转风控点</x:v>
      </x:c>
      <x:c r="C38" s="21" t="str">
        <x:v>六大风控点</x:v>
      </x:c>
      <x:c r="D38" s="21" t="str">
        <x:v>客户</x:v>
      </x:c>
      <x:c r="E38" s="21" t="str">
        <x:v>客户关系风控</x:v>
      </x:c>
      <x:c r="F38" s="21" t="str">
        <x:v>重大投诉/舆情/平台处罚即时上报</x:v>
      </x:c>
      <x:c r="G38" s="21" t="str">
        <x:v>进入红黄风险规则与升级路径；事件类重大风险不受金额阈值限制。</x:v>
      </x:c>
      <x:c r="H38" s="21" t="str">
        <x:v>风险台账 + 红黄预警规则</x:v>
      </x:c>
      <x:c r="I38" s="52" t="str">
        <x:v>事件触发/异常</x:v>
      </x:c>
      <x:c r="J38" s="52" t="str">
        <x:v>变化与闭环</x:v>
      </x:c>
      <x:c r="K38" s="52" t="str">
        <x:v>全景复盘</x:v>
      </x:c>
      <x:c r="L38" s="21" t="str">
        <x:v>对应责任部门；总经办汇总</x:v>
      </x:c>
    </x:row>
    <x:row r="39" ht="54" customHeight="1">
      <x:c r="A39" s="33" t="str">
        <x:v>H4.1.3</x:v>
      </x:c>
      <x:c r="B39" s="32" t="str">
        <x:v>线上线下整体运转风控点</x:v>
      </x:c>
      <x:c r="C39" s="21" t="str">
        <x:v>六大风控点</x:v>
      </x:c>
      <x:c r="D39" s="21" t="str">
        <x:v>定价</x:v>
      </x:c>
      <x:c r="E39" s="21" t="str">
        <x:v>物品定价风控</x:v>
      </x:c>
      <x:c r="F39" s="21" t="str">
        <x:v>负毛利订单/异常优惠/价格越权</x:v>
      </x:c>
      <x:c r="G39" s="21" t="str">
        <x:v>进入红黄风险规则与升级路径；事件类重大风险不受金额阈值限制。</x:v>
      </x:c>
      <x:c r="H39" s="21" t="str">
        <x:v>风险台账 + 红黄预警规则</x:v>
      </x:c>
      <x:c r="I39" s="52" t="str">
        <x:v>事件触发/异常</x:v>
      </x:c>
      <x:c r="J39" s="52" t="str">
        <x:v>变化与闭环</x:v>
      </x:c>
      <x:c r="K39" s="52" t="str">
        <x:v>全景复盘</x:v>
      </x:c>
      <x:c r="L39" s="21" t="str">
        <x:v>对应责任部门；总经办汇总</x:v>
      </x:c>
    </x:row>
    <x:row r="40" ht="54" customHeight="1">
      <x:c r="A40" s="33" t="str">
        <x:v>H4.1.4</x:v>
      </x:c>
      <x:c r="B40" s="32" t="str">
        <x:v>线上线下整体运转风控点</x:v>
      </x:c>
      <x:c r="C40" s="21" t="str">
        <x:v>六大风控点</x:v>
      </x:c>
      <x:c r="D40" s="21" t="str">
        <x:v>营销</x:v>
      </x:c>
      <x:c r="E40" s="21" t="str">
        <x:v>营销风控</x:v>
      </x:c>
      <x:c r="F40" s="21" t="str">
        <x:v>投放ROAS/贡献毛利异常即停调</x:v>
      </x:c>
      <x:c r="G40" s="21" t="str">
        <x:v>进入红黄风险规则与升级路径；事件类重大风险不受金额阈值限制。</x:v>
      </x:c>
      <x:c r="H40" s="21" t="str">
        <x:v>风险台账 + 红黄预警规则</x:v>
      </x:c>
      <x:c r="I40" s="52" t="str">
        <x:v>事件触发/异常</x:v>
      </x:c>
      <x:c r="J40" s="52" t="str">
        <x:v>变化与闭环</x:v>
      </x:c>
      <x:c r="K40" s="52" t="str">
        <x:v>全景复盘</x:v>
      </x:c>
      <x:c r="L40" s="21" t="str">
        <x:v>对应责任部门；总经办汇总</x:v>
      </x:c>
    </x:row>
    <x:row r="41" ht="54" customHeight="1">
      <x:c r="A41" s="33" t="str">
        <x:v>H4.1.5</x:v>
      </x:c>
      <x:c r="B41" s="32" t="str">
        <x:v>线上线下整体运转风控点</x:v>
      </x:c>
      <x:c r="C41" s="21" t="str">
        <x:v>六大风控点</x:v>
      </x:c>
      <x:c r="D41" s="21" t="str">
        <x:v>收银结算</x:v>
      </x:c>
      <x:c r="E41" s="21" t="str">
        <x:v>收银结算风控</x:v>
      </x:c>
      <x:c r="F41" s="21" t="str">
        <x:v>输赢管理/非单管理/结算管理</x:v>
      </x:c>
      <x:c r="G41" s="21" t="str">
        <x:v>会议纪要表述为收银、非单、库存周转、样机、物料和结算管理；主呈现采用规范口径，HTML原文保留。</x:v>
      </x:c>
      <x:c r="H41" s="21" t="str">
        <x:v>风险台账 + 红黄预警规则</x:v>
      </x:c>
      <x:c r="I41" s="52" t="str">
        <x:v>事件触发/异常</x:v>
      </x:c>
      <x:c r="J41" s="52" t="str">
        <x:v>变化与闭环</x:v>
      </x:c>
      <x:c r="K41" s="52" t="str">
        <x:v>全景复盘</x:v>
      </x:c>
      <x:c r="L41" s="21" t="str">
        <x:v>财务/采销；总经办复核</x:v>
      </x:c>
    </x:row>
    <x:row r="42" ht="54" customHeight="1">
      <x:c r="A42" s="33" t="str">
        <x:v>H4.1.6</x:v>
      </x:c>
      <x:c r="B42" s="32" t="str">
        <x:v>线上线下整体运转风控点</x:v>
      </x:c>
      <x:c r="C42" s="21" t="str">
        <x:v>六大风控点</x:v>
      </x:c>
      <x:c r="D42" s="21" t="str">
        <x:v>合规</x:v>
      </x:c>
      <x:c r="E42" s="21" t="str">
        <x:v>合同/采购/付款越权</x:v>
      </x:c>
      <x:c r="F42" s="21" t="str">
        <x:v>未经授权执行、重大合同风险、疑似舞弊</x:v>
      </x:c>
      <x:c r="G42" s="21" t="str">
        <x:v>进入红黄风险规则与升级路径；事件类重大风险不受金额阈值限制。</x:v>
      </x:c>
      <x:c r="H42" s="21" t="str">
        <x:v>风险台账 + 红黄预警规则</x:v>
      </x:c>
      <x:c r="I42" s="52" t="str">
        <x:v>事件触发/异常</x:v>
      </x:c>
      <x:c r="J42" s="52" t="str">
        <x:v>变化与闭环</x:v>
      </x:c>
      <x:c r="K42" s="52" t="str">
        <x:v>全景复盘</x:v>
      </x:c>
      <x:c r="L42" s="21" t="str">
        <x:v>采销/商务；业务负责人</x:v>
      </x:c>
    </x:row>
    <x:row r="43" ht="54" customHeight="1">
      <x:c r="A43" s="33" t="str">
        <x:v>H4.2.1</x:v>
      </x:c>
      <x:c r="B43" s="32" t="str">
        <x:v>线上线下整体运转风控点</x:v>
      </x:c>
      <x:c r="C43" s="21" t="str">
        <x:v>红黄规则 · 升级路径</x:v>
      </x:c>
      <x:c r="D43" s="21" t="str">
        <x:v>黄色关注</x:v>
      </x:c>
      <x:c r="E43" s="21" t="str">
        <x:v>落后进度5-10pp · 下降10-20% · 逾期1-30天</x:v>
      </x:c>
      <x:c r="F43" s="21" t="str">
        <x:v>责任人提交差额/原因/追赶动作</x:v>
      </x:c>
      <x:c r="G43" s="21" t="str">
        <x:v>进入红黄风险规则与升级路径；事件类重大风险不受金额阈值限制。</x:v>
      </x:c>
      <x:c r="H43" s="21" t="str">
        <x:v>风险台账 + 红黄预警规则</x:v>
      </x:c>
      <x:c r="I43" s="52" t="str">
        <x:v>事件触发/异常</x:v>
      </x:c>
      <x:c r="J43" s="52" t="str">
        <x:v>变化与闭环</x:v>
      </x:c>
      <x:c r="K43" s="52" t="str">
        <x:v>全景复盘</x:v>
      </x:c>
      <x:c r="L43" s="21" t="str">
        <x:v>对应责任部门；总经办汇总</x:v>
      </x:c>
    </x:row>
    <x:row r="44" ht="54" customHeight="1">
      <x:c r="A44" s="33" t="str">
        <x:v>H4.2.2</x:v>
      </x:c>
      <x:c r="B44" s="32" t="str">
        <x:v>线上线下整体运转风控点</x:v>
      </x:c>
      <x:c r="C44" s="21" t="str">
        <x:v>红黄规则 · 升级路径</x:v>
      </x:c>
      <x:c r="D44" s="21" t="str">
        <x:v>红色预警</x:v>
      </x:c>
      <x:c r="E44" s="21" t="str">
        <x:v>落后&gt;10pp · 下滑&gt;20% · 逾期&gt;30/60天 · 处罚/舆情</x:v>
      </x:c>
      <x:c r="F44" s="21" t="str">
        <x:v>即时上报、统一口径、明确处理人与时限；事件触发不受金额限制</x:v>
      </x:c>
      <x:c r="G44" s="21" t="str">
        <x:v>进入红黄风险规则与升级路径；事件类重大风险不受金额阈值限制。</x:v>
      </x:c>
      <x:c r="H44" s="21" t="str">
        <x:v>风险台账 + 红黄预警规则</x:v>
      </x:c>
      <x:c r="I44" s="52" t="str">
        <x:v>事件触发/异常</x:v>
      </x:c>
      <x:c r="J44" s="52" t="str">
        <x:v>变化与闭环</x:v>
      </x:c>
      <x:c r="K44" s="52" t="str">
        <x:v>全景复盘</x:v>
      </x:c>
      <x:c r="L44" s="21" t="str">
        <x:v>对应责任部门；总经办汇总</x:v>
      </x:c>
    </x:row>
    <x:row r="45" ht="54" customHeight="1">
      <x:c r="A45" s="39" t="str">
        <x:v>H5.1.1</x:v>
      </x:c>
      <x:c r="B45" s="38" t="str">
        <x:v>AI智能体体系 · 全员AI革命</x:v>
      </x:c>
      <x:c r="C45" s="21" t="str">
        <x:v>围绕工作的智能体</x:v>
      </x:c>
      <x:c r="D45" s="21" t="str">
        <x:v>经营智能体</x:v>
      </x:c>
      <x:c r="E45" s="21" t="str">
        <x:v>经营管理智能体（公司大智能体）</x:v>
      </x:c>
      <x:c r="F45" s="21" t="str">
        <x:v>管理各岗位智能体；数据细分用于重点事项沟通</x:v>
      </x:c>
      <x:c r="G45" s="21" t="str">
        <x:v>承接会议部署：公司级经营数据/重点事项智能体与岗位智能体分层建设，人工负责确认、例外判断和最终责任。</x:v>
      </x:c>
      <x:c r="H45" s="21" t="str">
        <x:v>AI智能体应用表 + 自动任务日志</x:v>
      </x:c>
      <x:c r="I45" s="52" t="str">
        <x:v>自动巡检</x:v>
      </x:c>
      <x:c r="J45" s="52" t="str">
        <x:v>建设进展</x:v>
      </x:c>
      <x:c r="K45" s="52" t="str">
        <x:v>成效复盘</x:v>
      </x:c>
      <x:c r="L45" s="21" t="str">
        <x:v>智能体责任人；总经办统一管理</x:v>
      </x:c>
    </x:row>
    <x:row r="46" ht="54" customHeight="1">
      <x:c r="A46" s="39" t="str">
        <x:v>H5.1.2</x:v>
      </x:c>
      <x:c r="B46" s="38" t="str">
        <x:v>AI智能体体系 · 全员AI革命</x:v>
      </x:c>
      <x:c r="C46" s="21" t="str">
        <x:v>围绕工作的智能体</x:v>
      </x:c>
      <x:c r="D46" s="21" t="str">
        <x:v>岗位智能体</x:v>
      </x:c>
      <x:c r="E46" s="21" t="str">
        <x:v>电商运营 · 财务做账 · 人事 · 营销</x:v>
      </x:c>
      <x:c r="F46" s="21" t="str">
        <x:v>电商运营智能体/财务做账基本智能体/人事主体/营销智能体</x:v>
      </x:c>
      <x:c r="G46" s="21" t="str">
        <x:v>承接会议部署：公司级经营数据/重点事项智能体与岗位智能体分层建设，人工负责确认、例外判断和最终责任。</x:v>
      </x:c>
      <x:c r="H46" s="21" t="str">
        <x:v>AI智能体应用表 + 自动任务日志</x:v>
      </x:c>
      <x:c r="I46" s="52" t="str">
        <x:v>自动巡检</x:v>
      </x:c>
      <x:c r="J46" s="52" t="str">
        <x:v>建设进展</x:v>
      </x:c>
      <x:c r="K46" s="52" t="str">
        <x:v>成效复盘</x:v>
      </x:c>
      <x:c r="L46" s="21" t="str">
        <x:v>智能体责任人；总经办统一管理</x:v>
      </x:c>
    </x:row>
    <x:row r="47" ht="54" customHeight="1">
      <x:c r="A47" s="39" t="str">
        <x:v>H5.1.3</x:v>
      </x:c>
      <x:c r="B47" s="38" t="str">
        <x:v>AI智能体体系 · 全员AI革命</x:v>
      </x:c>
      <x:c r="C47" s="21" t="str">
        <x:v>围绕工作的智能体</x:v>
      </x:c>
      <x:c r="D47" s="21" t="str">
        <x:v>落地节奏</x:v>
      </x:c>
      <x:c r="E47" s="21" t="str">
        <x:v>一周搭建 → 二周使用 → 三周复盘</x:v>
      </x:c>
      <x:c r="F47" s="21" t="str">
        <x:v>先确定搭什么→与黄思睿/沈东奇/王新梦沟通框架→平台统一管理</x:v>
      </x:c>
      <x:c r="G47" s="21" t="str">
        <x:v>按HTML主框架保留，并由对应专题表承接。</x:v>
      </x:c>
      <x:c r="H47" s="21" t="str">
        <x:v>AI智能体应用表 + 自动任务日志</x:v>
      </x:c>
      <x:c r="I47" s="52" t="str">
        <x:v>自动巡检</x:v>
      </x:c>
      <x:c r="J47" s="52" t="str">
        <x:v>建设进展</x:v>
      </x:c>
      <x:c r="K47" s="52" t="str">
        <x:v>成效复盘</x:v>
      </x:c>
      <x:c r="L47" s="21" t="str">
        <x:v>智能体责任人；总经办统一管理</x:v>
      </x:c>
    </x:row>
    <x:row r="48" ht="54" customHeight="1">
      <x:c r="A48" s="39" t="str">
        <x:v>H5.1.4</x:v>
      </x:c>
      <x:c r="B48" s="38" t="str">
        <x:v>AI智能体体系 · 全员AI革命</x:v>
      </x:c>
      <x:c r="C48" s="21" t="str">
        <x:v>围绕工作的智能体</x:v>
      </x:c>
      <x:c r="D48" s="21" t="str">
        <x:v>淘汰红线</x:v>
      </x:c>
      <x:c r="E48" s="21" t="str">
        <x:v>8-9月为限 · 年底前不会者淘汰</x:v>
      </x:c>
      <x:c r="F48" s="21" t="str">
        <x:v>AI是革命不是工具选项：不用AI就被AI革命掉；不会用=被时代淘汰</x:v>
      </x:c>
      <x:c r="G48" s="21" t="str">
        <x:v>按HTML主框架保留，并由对应专题表承接。</x:v>
      </x:c>
      <x:c r="H48" s="21" t="str">
        <x:v>AI智能体应用表 + 自动任务日志</x:v>
      </x:c>
      <x:c r="I48" s="52" t="str">
        <x:v>自动巡检</x:v>
      </x:c>
      <x:c r="J48" s="52" t="str">
        <x:v>建设进展</x:v>
      </x:c>
      <x:c r="K48" s="52" t="str">
        <x:v>成效复盘</x:v>
      </x:c>
      <x:c r="L48" s="21" t="str">
        <x:v>智能体责任人；总经办统一管理</x:v>
      </x:c>
    </x:row>
    <x:row r="49" ht="54" customHeight="1">
      <x:c r="A49" s="39" t="str">
        <x:v>H5.2.1</x:v>
      </x:c>
      <x:c r="B49" s="38" t="str">
        <x:v>AI智能体体系 · 全员AI革命</x:v>
      </x:c>
      <x:c r="C49" s="21" t="str">
        <x:v>人为工作 + 服务器24小时自动</x:v>
      </x:c>
      <x:c r="D49" s="21" t="str">
        <x:v>月度盘点</x:v>
      </x:c>
      <x:c r="E49" s="21" t="str">
        <x:v>月度账务盘点（示例）</x:v>
      </x:c>
      <x:c r="F49" s="21" t="str">
        <x:v>盘电子账→定时盘实物→按标准上报→系统自动推送报告/要求</x:v>
      </x:c>
      <x:c r="G49" s="21" t="str">
        <x:v>按HTML主框架保留，并由对应专题表承接。</x:v>
      </x:c>
      <x:c r="H49" s="21" t="str">
        <x:v>AI智能体应用表 + 自动任务日志</x:v>
      </x:c>
      <x:c r="I49" s="52" t="str">
        <x:v>自动巡检</x:v>
      </x:c>
      <x:c r="J49" s="52" t="str">
        <x:v>建设进展</x:v>
      </x:c>
      <x:c r="K49" s="52" t="str">
        <x:v>成效复盘</x:v>
      </x:c>
      <x:c r="L49" s="21" t="str">
        <x:v>智能体责任人；总经办统一管理</x:v>
      </x:c>
    </x:row>
    <x:row r="50" ht="54" customHeight="1">
      <x:c r="A50" s="39" t="str">
        <x:v>H5.2.2</x:v>
      </x:c>
      <x:c r="B50" s="38" t="str">
        <x:v>AI智能体体系 · 全员AI革命</x:v>
      </x:c>
      <x:c r="C50" s="21" t="str">
        <x:v>人为工作 + 服务器24小时自动</x:v>
      </x:c>
      <x:c r="D50" s="21" t="str">
        <x:v>数据上线</x:v>
      </x:c>
      <x:c r="E50" s="21" t="str">
        <x:v>公司数据全部透明上线</x:v>
      </x:c>
      <x:c r="F50" s="21" t="str">
        <x:v>无见不得光/无基本账；按岗位权限分配"该给谁看"；提升整体运营效率</x:v>
      </x:c>
      <x:c r="G50" s="21" t="str">
        <x:v>按HTML主框架保留，并由对应专题表承接。</x:v>
      </x:c>
      <x:c r="H50" s="21" t="str">
        <x:v>AI智能体应用表 + 自动任务日志</x:v>
      </x:c>
      <x:c r="I50" s="52" t="str">
        <x:v>自动巡检</x:v>
      </x:c>
      <x:c r="J50" s="52" t="str">
        <x:v>建设进展</x:v>
      </x:c>
      <x:c r="K50" s="52" t="str">
        <x:v>成效复盘</x:v>
      </x:c>
      <x:c r="L50" s="21" t="str">
        <x:v>智能体责任人；总经办统一管理</x:v>
      </x:c>
    </x:row>
    <x:row r="51" ht="54" customHeight="1">
      <x:c r="A51" s="39" t="str">
        <x:v>H5.2.3</x:v>
      </x:c>
      <x:c r="B51" s="38" t="str">
        <x:v>AI智能体体系 · 全员AI革命</x:v>
      </x:c>
      <x:c r="C51" s="21" t="str">
        <x:v>人为工作 + 服务器24小时自动</x:v>
      </x:c>
      <x:c r="D51" s="21" t="str">
        <x:v>工具选型</x:v>
      </x:c>
      <x:c r="E51" s="21" t="str">
        <x:v>Code为核心模板 + 小龙虾补充</x:v>
      </x:c>
      <x:c r="F51" s="21" t="str">
        <x:v>Code逻辑推理强为核心，考虑VPN不便、小龙虾方便，两者互补</x:v>
      </x:c>
      <x:c r="G51" s="21" t="str">
        <x:v>按HTML主框架保留，并由对应专题表承接。</x:v>
      </x:c>
      <x:c r="H51" s="21" t="str">
        <x:v>AI智能体应用表 + 自动任务日志</x:v>
      </x:c>
      <x:c r="I51" s="52" t="str">
        <x:v>自动巡检</x:v>
      </x:c>
      <x:c r="J51" s="52" t="str">
        <x:v>建设进展</x:v>
      </x:c>
      <x:c r="K51" s="52" t="str">
        <x:v>成效复盘</x:v>
      </x:c>
      <x:c r="L51" s="21" t="str">
        <x:v>智能体责任人；总经办统一管理</x:v>
      </x:c>
    </x:row>
    <x:row r="52" ht="54" customHeight="1">
      <x:c r="A52" s="42" t="str">
        <x:v>H6.1.1</x:v>
      </x:c>
      <x:c r="B52" s="41" t="str">
        <x:v>日报周报红线 · 汇报逻辑 · 数据责任</x:v>
      </x:c>
      <x:c r="C52" s="21" t="str">
        <x:v>日报/周报/月报 = 公司规则</x:v>
      </x:c>
      <x:c r="D52" s="21" t="str">
        <x:v>零容忍</x:v>
      </x:c>
      <x:c r="E52" s="21" t="str">
        <x:v>写不像样周报 = 态度/能力问题</x:v>
      </x:c>
      <x:c r="F52" s="21" t="str">
        <x:v>老员工因周报问题被开除；新人容错1-2周后不合格不留</x:v>
      </x:c>
      <x:c r="G52" s="21" t="str">
        <x:v>承接第五版日周月模板、数据责任、预警和附表规则。</x:v>
      </x:c>
      <x:c r="H52" s="21" t="str">
        <x:v>运行纪律表 + 数据责任时效表</x:v>
      </x:c>
      <x:c r="I52" s="52" t="str">
        <x:v>必呈</x:v>
      </x:c>
      <x:c r="J52" s="52" t="str">
        <x:v>复盘</x:v>
      </x:c>
      <x:c r="K52" s="52" t="str">
        <x:v>汇总</x:v>
      </x:c>
      <x:c r="L52" s="21" t="str">
        <x:v>对应责任部门；总经办汇总</x:v>
      </x:c>
    </x:row>
    <x:row r="53" ht="54" customHeight="1">
      <x:c r="A53" s="42" t="str">
        <x:v>H6.1.2</x:v>
      </x:c>
      <x:c r="B53" s="41" t="str">
        <x:v>日报周报红线 · 汇报逻辑 · 数据责任</x:v>
      </x:c>
      <x:c r="C53" s="21" t="str">
        <x:v>日报/周报/月报 = 公司规则</x:v>
      </x:c>
      <x:c r="D53" s="21" t="str">
        <x:v>要求</x:v>
      </x:c>
      <x:c r="E53" s="21" t="str">
        <x:v>有目标 · 有完成率 · 有复盘 · 有计划</x:v>
      </x:c>
      <x:c r="F53" s="21" t="str">
        <x:v>禁止流水账；先写给自己再写给领导；年→季→月→周→日层层清晰</x:v>
      </x:c>
      <x:c r="G53" s="21" t="str">
        <x:v>按HTML主框架保留，并由对应专题表承接。</x:v>
      </x:c>
      <x:c r="H53" s="21" t="str">
        <x:v>运行纪律表 + 数据责任时效表</x:v>
      </x:c>
      <x:c r="I53" s="52" t="str">
        <x:v>必呈</x:v>
      </x:c>
      <x:c r="J53" s="52" t="str">
        <x:v>复盘</x:v>
      </x:c>
      <x:c r="K53" s="52" t="str">
        <x:v>汇总</x:v>
      </x:c>
      <x:c r="L53" s="21" t="str">
        <x:v>对应责任部门；总经办汇总</x:v>
      </x:c>
    </x:row>
    <x:row r="54" ht="54" customHeight="1">
      <x:c r="A54" s="42" t="str">
        <x:v>H6.1.3</x:v>
      </x:c>
      <x:c r="B54" s="41" t="str">
        <x:v>日报周报红线 · 汇报逻辑 · 数据责任</x:v>
      </x:c>
      <x:c r="C54" s="21" t="str">
        <x:v>日报/周报/月报 = 公司规则</x:v>
      </x:c>
      <x:c r="D54" s="21" t="str">
        <x:v>工具</x:v>
      </x:c>
      <x:c r="E54" s="21" t="str">
        <x:v>不要求漂亮PPT · AI几秒生成</x:v>
      </x:c>
      <x:c r="F54" s="21" t="str">
        <x:v>核心是把工作梳理清楚；可与AI交流岗位报告怎么写</x:v>
      </x:c>
      <x:c r="G54" s="21" t="str">
        <x:v>按HTML主框架保留，并由对应专题表承接。</x:v>
      </x:c>
      <x:c r="H54" s="21" t="str">
        <x:v>运行纪律表 + 数据责任时效表</x:v>
      </x:c>
      <x:c r="I54" s="52" t="str">
        <x:v>必呈</x:v>
      </x:c>
      <x:c r="J54" s="52" t="str">
        <x:v>复盘</x:v>
      </x:c>
      <x:c r="K54" s="52" t="str">
        <x:v>汇总</x:v>
      </x:c>
      <x:c r="L54" s="21" t="str">
        <x:v>对应责任部门；总经办汇总</x:v>
      </x:c>
    </x:row>
    <x:row r="55" ht="54" customHeight="1">
      <x:c r="A55" s="42" t="str">
        <x:v>H6.2.1</x:v>
      </x:c>
      <x:c r="B55" s="41" t="str">
        <x:v>日报周报红线 · 汇报逻辑 · 数据责任</x:v>
      </x:c>
      <x:c r="C55" s="21" t="str">
        <x:v>一目了然 · 有主到次 · 分层级</x:v>
      </x:c>
      <x:c r="D55" s="21" t="str">
        <x:v>主次</x:v>
      </x:c>
      <x:c r="E55" s="21" t="str">
        <x:v>先讲什么、其次讲什么</x:v>
      </x:c>
      <x:c r="F55" s="21" t="str">
        <x:v>主次分明、分层级分逻辑；工作分清楚，沟通效率才高</x:v>
      </x:c>
      <x:c r="G55" s="21" t="str">
        <x:v>按HTML主框架保留，并由对应专题表承接。</x:v>
      </x:c>
      <x:c r="H55" s="21" t="str">
        <x:v>运行纪律表 + 数据责任时效表</x:v>
      </x:c>
      <x:c r="I55" s="52" t="str">
        <x:v>必呈</x:v>
      </x:c>
      <x:c r="J55" s="52" t="str">
        <x:v>复盘</x:v>
      </x:c>
      <x:c r="K55" s="52" t="str">
        <x:v>汇总</x:v>
      </x:c>
      <x:c r="L55" s="21" t="str">
        <x:v>对应责任部门；总经办汇总</x:v>
      </x:c>
    </x:row>
    <x:row r="56" ht="54" customHeight="1">
      <x:c r="A56" s="42" t="str">
        <x:v>H6.2.2</x:v>
      </x:c>
      <x:c r="B56" s="41" t="str">
        <x:v>日报周报红线 · 汇报逻辑 · 数据责任</x:v>
      </x:c>
      <x:c r="C56" s="21" t="str">
        <x:v>一目了然 · 有主到次 · 分层级</x:v>
      </x:c>
      <x:c r="D56" s="21" t="str">
        <x:v>口径</x:v>
      </x:c>
      <x:c r="E56" s="21" t="str">
        <x:v>员工工作内容围绕公司重点工作线</x:v>
      </x:c>
      <x:c r="F56" s="21" t="str">
        <x:v>收/支两条线理清楚；各岗位围绕重点工作开展</x:v>
      </x:c>
      <x:c r="G56" s="21" t="str">
        <x:v>按HTML主框架保留，并由对应专题表承接。</x:v>
      </x:c>
      <x:c r="H56" s="21" t="str">
        <x:v>运行纪律表 + 数据责任时效表</x:v>
      </x:c>
      <x:c r="I56" s="52" t="str">
        <x:v>必呈</x:v>
      </x:c>
      <x:c r="J56" s="52" t="str">
        <x:v>复盘</x:v>
      </x:c>
      <x:c r="K56" s="52" t="str">
        <x:v>汇总</x:v>
      </x:c>
      <x:c r="L56" s="21" t="str">
        <x:v>对应责任部门；总经办汇总</x:v>
      </x:c>
    </x:row>
    <x:row r="57" ht="54" customHeight="1">
      <x:c r="A57" s="42" t="str">
        <x:v>H6.3.1</x:v>
      </x:c>
      <x:c r="B57" s="41" t="str">
        <x:v>日报周报红线 · 汇报逻辑 · 数据责任</x:v>
      </x:c>
      <x:c r="C57" s="21" t="str">
        <x:v>数据包责任 · 复核 · 时效</x:v>
      </x:c>
      <x:c r="D57" s="21" t="str">
        <x:v>责任</x:v>
      </x:c>
      <x:c r="E57" s="21" t="str">
        <x:v>各板块数据责任人 → 财务/总经办复核</x:v>
      </x:c>
      <x:c r="F57" s="21" t="str">
        <x:v>公司销售/APR/电商/3PP/财务/营销/客服/人事/事项 九大数据包</x:v>
      </x:c>
      <x:c r="G57" s="21" t="str">
        <x:v>按HTML主框架保留，并由对应专题表承接。</x:v>
      </x:c>
      <x:c r="H57" s="21" t="str">
        <x:v>运行纪律表 + 数据责任时效表</x:v>
      </x:c>
      <x:c r="I57" s="52" t="str">
        <x:v>必呈</x:v>
      </x:c>
      <x:c r="J57" s="52" t="str">
        <x:v>复盘</x:v>
      </x:c>
      <x:c r="K57" s="52" t="str">
        <x:v>汇总</x:v>
      </x:c>
      <x:c r="L57" s="21" t="str">
        <x:v>对应责任部门；总经办汇总</x:v>
      </x:c>
    </x:row>
    <x:row r="58" ht="54" customHeight="1">
      <x:c r="A58" s="42" t="str">
        <x:v>H6.3.2</x:v>
      </x:c>
      <x:c r="B58" s="41" t="str">
        <x:v>日报周报红线 · 汇报逻辑 · 数据责任</x:v>
      </x:c>
      <x:c r="C58" s="21" t="str">
        <x:v>数据包责任 · 复核 · 时效</x:v>
      </x:c>
      <x:c r="D58" s="21" t="str">
        <x:v>时效</x:v>
      </x:c>
      <x:c r="E58" s="21" t="str">
        <x:v>日报08:30 · 周报周一10:00 · 月报次月5日</x:v>
      </x:c>
      <x:c r="F58" s="21" t="str">
        <x:v>关键数据不齐时带"暂估/待确认/缺失"标识按时呈报，禁止静默补数</x:v>
      </x:c>
      <x:c r="G58" s="21" t="str">
        <x:v>承接第五版日周月模板、数据责任、预警和附表规则。</x:v>
      </x:c>
      <x:c r="H58" s="21" t="str">
        <x:v>运行纪律表 + 数据责任时效表</x:v>
      </x:c>
      <x:c r="I58" s="52" t="str">
        <x:v>必呈</x:v>
      </x:c>
      <x:c r="J58" s="52" t="str">
        <x:v>复盘</x:v>
      </x:c>
      <x:c r="K58" s="52" t="str">
        <x:v>汇总</x:v>
      </x:c>
      <x:c r="L58" s="21" t="str">
        <x:v>对应责任部门；总经办汇总</x:v>
      </x:c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5" hidden="0" customWidth="1"/>
    <x:col min="4" max="4" width="51" hidden="0" customWidth="1"/>
    <x:col min="5" max="5" width="44" hidden="0" customWidth="1"/>
    <x:col min="6" max="6" width="41" hidden="0" customWidth="1"/>
    <x:col min="7" max="7" width="23" hidden="0" customWidth="1"/>
    <x:col min="8" max="8" width="22" hidden="0" customWidth="1"/>
  </x:cols>
  <x:sheetData>
    <x:row r="1" ht="34" customHeight="1">
      <x:c r="A1" s="6" t="str">
        <x:v>每日经营管理简报框架</x:v>
      </x:c>
      <x:c r="B1" s="6"/>
      <x:c r="C1" s="6"/>
      <x:c r="D1" s="6"/>
      <x:c r="E1" s="6"/>
      <x:c r="F1" s="6"/>
      <x:c r="G1" s="6"/>
      <x:c r="H1" s="6"/>
    </x:row>
    <x:row r="2" ht="24" customHeight="1">
      <x:c r="A2" s="9" t="str">
        <x:v>日报看异常和当天动作：D+1早晨呈报，主表控制在1-2页，明细进入附表</x:v>
      </x:c>
      <x:c r="B2" s="9"/>
      <x:c r="C2" s="9"/>
      <x:c r="D2" s="9"/>
      <x:c r="E2" s="9"/>
      <x:c r="F2" s="9"/>
      <x:c r="G2" s="9"/>
      <x:c r="H2" s="9"/>
    </x:row>
    <x:row r="3" ht="28" customHeight="1">
      <x:c r="A3" s="11" t="str">
        <x:v>一级结构固定为：经营数据、管理数据、重点事项和风控；“老板摘要”只汇总三大板块的结论，不新增数据口径。</x:v>
      </x:c>
      <x:c r="B3" s="11"/>
      <x:c r="C3" s="11"/>
      <x:c r="D3" s="11"/>
      <x:c r="E3" s="11"/>
      <x:c r="F3" s="11"/>
      <x:c r="G3" s="11"/>
      <x:c r="H3" s="11"/>
    </x:row>
    <x:row r="4" ht="30" customHeight="1">
      <x:c r="A4" s="18" t="str">
        <x:v>序号</x:v>
      </x:c>
      <x:c r="B4" s="18" t="str">
        <x:v>一级板块</x:v>
      </x:c>
      <x:c r="C4" s="18" t="str">
        <x:v>管理主题</x:v>
      </x:c>
      <x:c r="D4" s="18" t="str">
        <x:v>主表必呈现内容</x:v>
      </x:c>
      <x:c r="E4" s="18" t="str">
        <x:v>比较/分析口径</x:v>
      </x:c>
      <x:c r="F4" s="18" t="str">
        <x:v>异常后管理动作</x:v>
      </x:c>
      <x:c r="G4" s="18" t="str">
        <x:v>呈现层级</x:v>
      </x:c>
      <x:c r="H4" s="18" t="str">
        <x:v>数据时点</x:v>
      </x:c>
    </x:row>
    <x:row r="5" ht="55" customHeight="1">
      <x:c r="A5" s="41" t="str">
        <x:v>D01</x:v>
      </x:c>
      <x:c r="B5" s="41" t="str">
        <x:v>老板摘要</x:v>
      </x:c>
      <x:c r="C5" s="21" t="str">
        <x:v>经营结论</x:v>
      </x:c>
      <x:c r="D5" s="21" t="str">
        <x:v>用一句话说明销售、毛利、目标进度、最大贡献板块和最大拖累因素；只列3项以内亮点/异常。</x:v>
      </x:c>
      <x:c r="E5" s="21" t="str">
        <x:v>实销与目标进度、上周同日及必要的同比对照；利润口径标注暂估/确认。</x:v>
      </x:c>
      <x:c r="F5" s="21" t="str">
        <x:v>异常直接指向责任板块、原因、今日动作和完成节点。</x:v>
      </x:c>
      <x:c r="G5" s="21" t="str">
        <x:v>首页置顶</x:v>
      </x:c>
      <x:c r="H5" s="21" t="str">
        <x:v>D+1 08:30前</x:v>
      </x:c>
    </x:row>
    <x:row r="6" ht="55" customHeight="1">
      <x:c r="A6" s="41" t="str">
        <x:v>D02</x:v>
      </x:c>
      <x:c r="B6" s="41" t="str">
        <x:v>老板摘要</x:v>
      </x:c>
      <x:c r="C6" s="21" t="str">
        <x:v>需老板决策</x:v>
      </x:c>
      <x:c r="D6" s="21" t="str">
        <x:v>事项、影响金额/范围、方案A/B、责任人建议、建议结论、最晚批复时间。</x:v>
      </x:c>
      <x:c r="E6" s="21" t="str">
        <x:v>只进入涉及资金授权、价格政策、重大客户、跨部门资源或高风险事项。</x:v>
      </x:c>
      <x:c r="F6" s="21" t="str">
        <x:v>未批复实时提醒；批复后进入执行闭环。</x:v>
      </x:c>
      <x:c r="G6" s="21" t="str">
        <x:v>首页置顶，1-3项</x:v>
      </x:c>
      <x:c r="H6" s="21" t="str">
        <x:v>实时更新</x:v>
      </x:c>
    </x:row>
    <x:row r="7" ht="55" customHeight="1">
      <x:c r="A7" s="41" t="str">
        <x:v>D03</x:v>
      </x:c>
      <x:c r="B7" s="41" t="str">
        <x:v>老板摘要</x:v>
      </x:c>
      <x:c r="C7" s="21" t="str">
        <x:v>重大异常</x:v>
      </x:c>
      <x:c r="D7" s="21" t="str">
        <x:v>红色风险、重大客诉/舆情、平台处罚、资金或数据异常；无则明确显示“无重大异常”。</x:v>
      </x:c>
      <x:c r="E7" s="21" t="str">
        <x:v>按影响金额、业务连续性、品牌/合规影响分级。</x:v>
      </x:c>
      <x:c r="F7" s="21" t="str">
        <x:v>红色风险立即上报并形成责任人、措施、时限。</x:v>
      </x:c>
      <x:c r="G7" s="21" t="str">
        <x:v>首页置顶</x:v>
      </x:c>
      <x:c r="H7" s="21" t="str">
        <x:v>事件触发</x:v>
      </x:c>
    </x:row>
    <x:row r="8" ht="55" customHeight="1">
      <x:c r="A8" s="23" t="str">
        <x:v>D04</x:v>
      </x:c>
      <x:c r="B8" s="23" t="str">
        <x:v>经营数据</x:v>
      </x:c>
      <x:c r="C8" s="21" t="str">
        <x:v>公司经营结果</x:v>
      </x:c>
      <x:c r="D8" s="21" t="str">
        <x:v>实销收入、毛利额、毛利率、订单数、客单价；月累计、月目标、目标达成率、时间进度、月末预测。</x:v>
      </x:c>
      <x:c r="E8" s="21" t="str">
        <x:v>日报优先对比上周同日和目标进度；同比仅在可比口径成立时使用。</x:v>
      </x:c>
      <x:c r="F8" s="21" t="str">
        <x:v>低于进度时写明差额、原因、当日追赶动作。</x:v>
      </x:c>
      <x:c r="G8" s="21" t="str">
        <x:v>主表必看</x:v>
      </x:c>
      <x:c r="H8" s="21" t="str">
        <x:v>D+1；毛利可暂估</x:v>
      </x:c>
    </x:row>
    <x:row r="9" ht="55" customHeight="1">
      <x:c r="A9" s="23" t="str">
        <x:v>D05</x:v>
      </x:c>
      <x:c r="B9" s="23" t="str">
        <x:v>经营数据</x:v>
      </x:c>
      <x:c r="C9" s="21" t="str">
        <x:v>四大板块贡献</x:v>
      </x:c>
      <x:c r="D9" s="21" t="str">
        <x:v>APR门店、Apple电商、Shure电商、3PP/渠道分销：销售、毛利率、目标达成、增减贡献、状态。</x:v>
      </x:c>
      <x:c r="E9" s="21" t="str">
        <x:v>公司合计与四板块必须勾稽一致；贡献用金额和百分点表达。</x:v>
      </x:c>
      <x:c r="F9" s="21" t="str">
        <x:v>异常板块进入下一层，其余不展开。</x:v>
      </x:c>
      <x:c r="G9" s="21" t="str">
        <x:v>主表横向比较</x:v>
      </x:c>
      <x:c r="H9" s="21" t="str">
        <x:v>D+1</x:v>
      </x:c>
    </x:row>
    <x:row r="10" ht="55" customHeight="1">
      <x:c r="A10" s="23" t="str">
        <x:v>D06</x:v>
      </x:c>
      <x:c r="B10" s="23" t="str">
        <x:v>经营数据</x:v>
      </x:c>
      <x:c r="C10" s="21" t="str">
        <x:v>APR门店异常</x:v>
      </x:c>
      <x:c r="D10" s="21" t="str">
        <x:v>仅呈现TOP3、末位/异常门店；销售、完成率、毛利率、客流、转化、客单价、配件/服务连带、库存与合规异常。</x:v>
      </x:c>
      <x:c r="E10" s="21" t="str">
        <x:v>门店对比上周同日、预算和同店口径；全量门店进入附表。</x:v>
      </x:c>
      <x:c r="F10" s="21" t="str">
        <x:v>点名店长，给出当天提升动作与目标。</x:v>
      </x:c>
      <x:c r="G10" s="21" t="str">
        <x:v>异常时主表；全量附表</x:v>
      </x:c>
      <x:c r="H10" s="21" t="str">
        <x:v>D+1</x:v>
      </x:c>
    </x:row>
    <x:row r="11" ht="55" customHeight="1">
      <x:c r="A11" s="23" t="str">
        <x:v>D07</x:v>
      </x:c>
      <x:c r="B11" s="23" t="str">
        <x:v>经营数据</x:v>
      </x:c>
      <x:c r="C11" s="21" t="str">
        <x:v>Apple电商异常</x:v>
      </x:c>
      <x:c r="D11" s="21" t="str">
        <x:v>两渠道实销/GMV、毛利率、净贡献、退款、推广费/ROAS、转化、履约、库存及激活异常。</x:v>
      </x:c>
      <x:c r="E11" s="21" t="str">
        <x:v>GMV与实销分列；退款、平台补贴和推广归因口径统一；不纳入天猫渠道。</x:v>
      </x:c>
      <x:c r="F11" s="21" t="str">
        <x:v>负毛利、异常优惠、激活/履约风险立即形成处理项。</x:v>
      </x:c>
      <x:c r="G11" s="21" t="str">
        <x:v>异常时主表；渠道附表</x:v>
      </x:c>
      <x:c r="H11" s="21" t="str">
        <x:v>D+1</x:v>
      </x:c>
    </x:row>
    <x:row r="12" ht="55" customHeight="1">
      <x:c r="A12" s="23" t="str">
        <x:v>D08</x:v>
      </x:c>
      <x:c r="B12" s="23" t="str">
        <x:v>经营数据</x:v>
      </x:c>
      <x:c r="C12" s="21" t="str">
        <x:v>Shure电商异常</x:v>
      </x:c>
      <x:c r="D12" s="21" t="str">
        <x:v>京东官方旗舰店、天猫官方旗舰店：销售、毛利率、订单、转化、退款、推广费/ROAS、核心SKU贡献、库存。</x:v>
      </x:c>
      <x:c r="E12" s="21" t="str">
        <x:v>按当前实际经营渠道统计；未正式经营渠道不进入公司合计。</x:v>
      </x:c>
      <x:c r="F12" s="21" t="str">
        <x:v>低ROAS、高退款、核心SKU缺货或超龄形成专项动作。</x:v>
      </x:c>
      <x:c r="G12" s="21" t="str">
        <x:v>异常时主表；渠道附表</x:v>
      </x:c>
      <x:c r="H12" s="21" t="str">
        <x:v>D+1</x:v>
      </x:c>
    </x:row>
    <x:row r="13" ht="55" customHeight="1">
      <x:c r="A13" s="23" t="str">
        <x:v>D09</x:v>
      </x:c>
      <x:c r="B13" s="23" t="str">
        <x:v>经营数据</x:v>
      </x:c>
      <x:c r="C13" s="21" t="str">
        <x:v>3PP/渠道分销异常</x:v>
      </x:c>
      <x:c r="D13" s="21" t="str">
        <x:v>销售、毛利率、活跃客户、重点项目、回款、逾期应收、重点产品铺货/动销、库存。</x:v>
      </x:c>
      <x:c r="E13" s="21" t="str">
        <x:v>按客户/品牌/项目归属，销售与回款、应收、库存联动查看。</x:v>
      </x:c>
      <x:c r="F13" s="21" t="str">
        <x:v>逾期应收、项目节点或库存风险明确负责人和回收/消化计划。</x:v>
      </x:c>
      <x:c r="G13" s="21" t="str">
        <x:v>异常时主表；项目附表</x:v>
      </x:c>
      <x:c r="H13" s="21" t="str">
        <x:v>D+1/事项实时</x:v>
      </x:c>
    </x:row>
    <x:row r="14" ht="55" customHeight="1">
      <x:c r="A14" s="23" t="str">
        <x:v>D10</x:v>
      </x:c>
      <x:c r="B14" s="23" t="str">
        <x:v>经营数据</x:v>
      </x:c>
      <x:c r="C14" s="21" t="str">
        <x:v>库存健康</x:v>
      </x:c>
      <x:c r="D14" s="21" t="str">
        <x:v>库存金额、90天+/180天+、周转天数或存销比、核心SKU缺货、低库存、在途超期、残次/样机；只列TOP风险SKU。</x:v>
      </x:c>
      <x:c r="E14" s="21" t="str">
        <x:v>总额按成本口径；库龄按统一批次规则；虚拟品、样机和残次单列。</x:v>
      </x:c>
      <x:c r="F14" s="21" t="str">
        <x:v>形成补货、调拨、清库、退换或跌价评估动作。</x:v>
      </x:c>
      <x:c r="G14" s="21" t="str">
        <x:v>主表摘要+附表</x:v>
      </x:c>
      <x:c r="H14" s="21" t="str">
        <x:v>D+1</x:v>
      </x:c>
    </x:row>
    <x:row r="15" ht="55" customHeight="1">
      <x:c r="A15" s="23" t="str">
        <x:v>D11</x:v>
      </x:c>
      <x:c r="B15" s="23" t="str">
        <x:v>经营数据</x:v>
      </x:c>
      <x:c r="C15" s="21" t="str">
        <x:v>资金与应收</x:v>
      </x:c>
      <x:c r="D15" s="21" t="str">
        <x:v>重大收付款、可用资金预警、国补/平台/客户应收、逾期金额、预计回款日、异常退款或账实差异。</x:v>
      </x:c>
      <x:c r="E15" s="21" t="str">
        <x:v>日报不平铺全部银行余额；只呈现重大变动、逾期和越线风险，敏感信息按权限。</x:v>
      </x:c>
      <x:c r="F15" s="21" t="str">
        <x:v>明确催收/核查动作、责任人和预计解决日。</x:v>
      </x:c>
      <x:c r="G15" s="21" t="str">
        <x:v>异常时主表；财务附表</x:v>
      </x:c>
      <x:c r="H15" s="21" t="str">
        <x:v>D+1</x:v>
      </x:c>
    </x:row>
    <x:row r="16" ht="55" customHeight="1">
      <x:c r="A16" s="26" t="str">
        <x:v>D12</x:v>
      </x:c>
      <x:c r="B16" s="26" t="str">
        <x:v>管理数据</x:v>
      </x:c>
      <x:c r="C16" s="21" t="str">
        <x:v>重点任务执行</x:v>
      </x:c>
      <x:c r="D16" s="21" t="str">
        <x:v>重点事项新增、完成、逾期数量；TOP事项实际进度、时间进度、偏差、当日进展、下一节点。</x:v>
      </x:c>
      <x:c r="E16" s="21" t="str">
        <x:v>实际进度落后时间进度10个百分点即关注，20个百分点或逾期即预警。</x:v>
      </x:c>
      <x:c r="F16" s="21" t="str">
        <x:v>落后事项必须给纠偏动作，责任到人、时限到日。</x:v>
      </x:c>
      <x:c r="G16" s="21" t="str">
        <x:v>主表必看</x:v>
      </x:c>
      <x:c r="H16" s="21" t="str">
        <x:v>每日下班前更新</x:v>
      </x:c>
    </x:row>
    <x:row r="17" ht="55" customHeight="1">
      <x:c r="A17" s="26" t="str">
        <x:v>D13</x:v>
      </x:c>
      <x:c r="B17" s="26" t="str">
        <x:v>管理数据</x:v>
      </x:c>
      <x:c r="C17" s="21" t="str">
        <x:v>经营保障效率</x:v>
      </x:c>
      <x:c r="D17" s="21" t="str">
        <x:v>投放/活动异常、履约/售后异常、重大客诉、返利政策节点、门店合规、关键合同/审批异常。</x:v>
      </x:c>
      <x:c r="E17" s="21" t="str">
        <x:v>内容营销作为经营支撑，不单列为收入板块；无异常不展开。</x:v>
      </x:c>
      <x:c r="F17" s="21" t="str">
        <x:v>形成停止、调整、补救或升级方案。</x:v>
      </x:c>
      <x:c r="G17" s="21" t="str">
        <x:v>异常时主表</x:v>
      </x:c>
      <x:c r="H17" s="21" t="str">
        <x:v>事件触发/D+1</x:v>
      </x:c>
    </x:row>
    <x:row r="18" ht="55" customHeight="1">
      <x:c r="A18" s="26" t="str">
        <x:v>D14</x:v>
      </x:c>
      <x:c r="B18" s="26" t="str">
        <x:v>管理数据</x:v>
      </x:c>
      <x:c r="C18" s="21" t="str">
        <x:v>组织异常</x:v>
      </x:c>
      <x:c r="D18" s="21" t="str">
        <x:v>关键岗位缺编、异常离职、门店严重缺勤、新人/认证逾期、劳动合规异常。</x:v>
      </x:c>
      <x:c r="E18" s="21" t="str">
        <x:v>日报不展示全量考勤和招聘流水，仅展示影响经营的例外。</x:v>
      </x:c>
      <x:c r="F18" s="21" t="str">
        <x:v>确定临时替补、招聘、培训或责任处理时限。</x:v>
      </x:c>
      <x:c r="G18" s="21" t="str">
        <x:v>异常时主表</x:v>
      </x:c>
      <x:c r="H18" s="21" t="str">
        <x:v>D+1/事件触发</x:v>
      </x:c>
    </x:row>
    <x:row r="19" ht="55" customHeight="1">
      <x:c r="A19" s="26" t="str">
        <x:v>D15</x:v>
      </x:c>
      <x:c r="B19" s="26" t="str">
        <x:v>管理数据</x:v>
      </x:c>
      <x:c r="C19" s="21" t="str">
        <x:v>数据质量</x:v>
      </x:c>
      <x:c r="D19" s="21" t="str">
        <x:v>关键数据源更新时间、确认/暂估/缺失状态、应报/实报、ERP与平台/财务差异。</x:v>
      </x:c>
      <x:c r="E19" s="21" t="str">
        <x:v>关键指标必须标来源、截止时间和数据状态；公司合计需与板块合计勾稽。</x:v>
      </x:c>
      <x:c r="F19" s="21" t="str">
        <x:v>缺失数据指定补录责任人和最晚修复时间。</x:v>
      </x:c>
      <x:c r="G19" s="21" t="str">
        <x:v>底部固定</x:v>
      </x:c>
      <x:c r="H19" s="21" t="str">
        <x:v>每次汇总</x:v>
      </x:c>
    </x:row>
    <x:row r="20" ht="55" customHeight="1">
      <x:c r="A20" s="29" t="str">
        <x:v>D16</x:v>
      </x:c>
      <x:c r="B20" s="29" t="str">
        <x:v>重点事项和风控</x:v>
      </x:c>
      <x:c r="C20" s="21" t="str">
        <x:v>风险处置</x:v>
      </x:c>
      <x:c r="D20" s="21" t="str">
        <x:v>风险等级、类型、事项、影响金额/范围、发生概率、当前措施、剩余敞口、责任人、截止日、状态。</x:v>
      </x:c>
      <x:c r="E20" s="21" t="str">
        <x:v>按销售、库存、资金、平台、合规、客户、人员、数据八类统一登记。</x:v>
      </x:c>
      <x:c r="F20" s="21" t="str">
        <x:v>红色即时报；黄色进入每日跟踪；关闭需结果验证。</x:v>
      </x:c>
      <x:c r="G20" s="21" t="str">
        <x:v>红黄风险清单</x:v>
      </x:c>
      <x:c r="H20" s="21" t="str">
        <x:v>实时更新</x:v>
      </x:c>
    </x:row>
    <x:row r="21" ht="55" customHeight="1">
      <x:c r="A21" s="29" t="str">
        <x:v>D17</x:v>
      </x:c>
      <x:c r="B21" s="29" t="str">
        <x:v>重点事项和风控</x:v>
      </x:c>
      <x:c r="C21" s="21" t="str">
        <x:v>老板批复闭环</x:v>
      </x:c>
      <x:c r="D21" s="21" t="str">
        <x:v>批复内容、接收人、执行动作、完成时间、验证证据、未完成原因。</x:v>
      </x:c>
      <x:c r="E21" s="21" t="str">
        <x:v>批复不是终点，必须对应后续事项ID并验证结果。</x:v>
      </x:c>
      <x:c r="F21" s="21" t="str">
        <x:v>未确认或逾期自动升级。</x:v>
      </x:c>
      <x:c r="G21" s="21" t="str">
        <x:v>决策清单底部</x:v>
      </x:c>
      <x:c r="H21" s="21" t="str">
        <x:v>实时更新</x:v>
      </x:c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>
      <x:c r="A23" s="3"/>
      <x:c r="B23" s="3"/>
      <x:c r="C23" s="3"/>
      <x:c r="D23" s="3"/>
      <x:c r="E23" s="3"/>
      <x:c r="F23" s="3"/>
      <x:c r="G23" s="3"/>
      <x:c r="H23" s="3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7" hidden="0" customWidth="1"/>
    <x:col min="4" max="4" width="53" hidden="0" customWidth="1"/>
    <x:col min="5" max="5" width="44" hidden="0" customWidth="1"/>
    <x:col min="6" max="6" width="42" hidden="0" customWidth="1"/>
    <x:col min="7" max="7" width="23" hidden="0" customWidth="1"/>
    <x:col min="8" max="8" width="22" hidden="0" customWidth="1"/>
  </x:cols>
  <x:sheetData>
    <x:row r="1" ht="34" customHeight="1">
      <x:c r="A1" s="6" t="str">
        <x:v>每周经营管理简报框架</x:v>
      </x:c>
      <x:c r="B1" s="6"/>
      <x:c r="C1" s="6"/>
      <x:c r="D1" s="6"/>
      <x:c r="E1" s="6"/>
      <x:c r="F1" s="6"/>
      <x:c r="G1" s="6"/>
      <x:c r="H1" s="6"/>
    </x:row>
    <x:row r="2" ht="24" customHeight="1">
      <x:c r="A2" s="9" t="str">
        <x:v>周报看变化、差距与整改效果：解释驱动，形成下周量化动作</x:v>
      </x:c>
      <x:c r="B2" s="9"/>
      <x:c r="C2" s="9"/>
      <x:c r="D2" s="9"/>
      <x:c r="E2" s="9"/>
      <x:c r="F2" s="9"/>
      <x:c r="G2" s="9"/>
      <x:c r="H2" s="9"/>
    </x:row>
    <x:row r="3" ht="28" customHeight="1">
      <x:c r="A3" s="11" t="str">
        <x:v>一级结构固定为：经营数据、管理数据、重点事项和风控；“老板摘要”只汇总三大板块的结论，不新增数据口径。</x:v>
      </x:c>
      <x:c r="B3" s="11"/>
      <x:c r="C3" s="11"/>
      <x:c r="D3" s="11"/>
      <x:c r="E3" s="11"/>
      <x:c r="F3" s="11"/>
      <x:c r="G3" s="11"/>
      <x:c r="H3" s="11"/>
    </x:row>
    <x:row r="4" ht="30" customHeight="1">
      <x:c r="A4" s="18" t="str">
        <x:v>序号</x:v>
      </x:c>
      <x:c r="B4" s="18" t="str">
        <x:v>一级板块</x:v>
      </x:c>
      <x:c r="C4" s="18" t="str">
        <x:v>管理主题</x:v>
      </x:c>
      <x:c r="D4" s="18" t="str">
        <x:v>主表必呈现内容</x:v>
      </x:c>
      <x:c r="E4" s="18" t="str">
        <x:v>比较/分析口径</x:v>
      </x:c>
      <x:c r="F4" s="18" t="str">
        <x:v>异常后管理动作</x:v>
      </x:c>
      <x:c r="G4" s="18" t="str">
        <x:v>呈现层级</x:v>
      </x:c>
      <x:c r="H4" s="18" t="str">
        <x:v>数据时点</x:v>
      </x:c>
    </x:row>
    <x:row r="5" ht="56" customHeight="1">
      <x:c r="A5" s="41" t="str">
        <x:v>W01</x:v>
      </x:c>
      <x:c r="B5" s="41" t="str">
        <x:v>老板摘要</x:v>
      </x:c>
      <x:c r="C5" s="21" t="str">
        <x:v>本周经营结论</x:v>
      </x:c>
      <x:c r="D5" s="21" t="str">
        <x:v>一页说明销售、毛利、预算/目标、最大增长贡献、最大拖累、重大风险和下周三项动作。</x:v>
      </x:c>
      <x:c r="E5" s="21" t="str">
        <x:v>本周对上周、去年同期、近4周均值和月度时间进度。</x:v>
      </x:c>
      <x:c r="F5" s="21" t="str">
        <x:v>形成下周目标、动作、责任人和资源需求。</x:v>
      </x:c>
      <x:c r="G5" s="21" t="str">
        <x:v>首页置顶</x:v>
      </x:c>
      <x:c r="H5" s="21" t="str">
        <x:v>周一10:00前</x:v>
      </x:c>
    </x:row>
    <x:row r="6" ht="56" customHeight="1">
      <x:c r="A6" s="23" t="str">
        <x:v>W02</x:v>
      </x:c>
      <x:c r="B6" s="23" t="str">
        <x:v>经营数据</x:v>
      </x:c>
      <x:c r="C6" s="21" t="str">
        <x:v>收入与利润趋势</x:v>
      </x:c>
      <x:c r="D6" s="21" t="str">
        <x:v>周销售、毛利额、毛利率、贡献毛利、月累计达成、月末滚动预测、预算差额。</x:v>
      </x:c>
      <x:c r="E6" s="21" t="str">
        <x:v>实际/目标/去年同期/上周并列；解释增减金额和百分点。</x:v>
      </x:c>
      <x:c r="F6" s="21" t="str">
        <x:v>对差距形成量化追赶计划。</x:v>
      </x:c>
      <x:c r="G6" s="21" t="str">
        <x:v>主表必看</x:v>
      </x:c>
      <x:c r="H6" s="21" t="str">
        <x:v>每周</x:v>
      </x:c>
    </x:row>
    <x:row r="7" ht="56" customHeight="1">
      <x:c r="A7" s="23" t="str">
        <x:v>W03</x:v>
      </x:c>
      <x:c r="B7" s="23" t="str">
        <x:v>经营数据</x:v>
      </x:c>
      <x:c r="C7" s="21" t="str">
        <x:v>增长驱动拆解</x:v>
      </x:c>
      <x:c r="D7" s="21" t="str">
        <x:v>APR按客流×转化×客单拆解；电商按UV×转化×客单拆解；分销按客户×订单×客单拆解。</x:v>
      </x:c>
      <x:c r="E7" s="21" t="str">
        <x:v>用可解释驱动替代单纯环比，必要时补充价格/销量/结构影响。</x:v>
      </x:c>
      <x:c r="F7" s="21" t="str">
        <x:v>明确最有效和最需要纠偏的驱动。</x:v>
      </x:c>
      <x:c r="G7" s="21" t="str">
        <x:v>主表分析</x:v>
      </x:c>
      <x:c r="H7" s="21" t="str">
        <x:v>每周</x:v>
      </x:c>
    </x:row>
    <x:row r="8" ht="56" customHeight="1">
      <x:c r="A8" s="23" t="str">
        <x:v>W04</x:v>
      </x:c>
      <x:c r="B8" s="23" t="str">
        <x:v>经营数据</x:v>
      </x:c>
      <x:c r="C8" s="21" t="str">
        <x:v>板块与门店/渠道贡献</x:v>
      </x:c>
      <x:c r="D8" s="21" t="str">
        <x:v>四大板块收入、毛利、增量贡献；APR门店、京东羽通、苏宁啟韬、Shure京东/天猫、3PP项目排名。</x:v>
      </x:c>
      <x:c r="E8" s="21" t="str">
        <x:v>公司合计与明细勾稽；TOP/末位变化必须解释。</x:v>
      </x:c>
      <x:c r="F8" s="21" t="str">
        <x:v>确定资源倾斜和整改对象。</x:v>
      </x:c>
      <x:c r="G8" s="21" t="str">
        <x:v>主表+排名附表</x:v>
      </x:c>
      <x:c r="H8" s="21" t="str">
        <x:v>每周</x:v>
      </x:c>
    </x:row>
    <x:row r="9" ht="56" customHeight="1">
      <x:c r="A9" s="23" t="str">
        <x:v>W05</x:v>
      </x:c>
      <x:c r="B9" s="23" t="str">
        <x:v>经营数据</x:v>
      </x:c>
      <x:c r="C9" s="21" t="str">
        <x:v>费用与营销效率</x:v>
      </x:c>
      <x:c r="D9" s="21" t="str">
        <x:v>推广、平台扣点、优惠、物流、售后等可变费用及费用率；平台/活动ROAS、预算消耗、增量毛利。</x:v>
      </x:c>
      <x:c r="E9" s="21" t="str">
        <x:v>评价投入产出和增量，不用单一GMV判断活动。</x:v>
      </x:c>
      <x:c r="F9" s="21" t="str">
        <x:v>形成继续、调整或停止清单。</x:v>
      </x:c>
      <x:c r="G9" s="21" t="str">
        <x:v>主表分析</x:v>
      </x:c>
      <x:c r="H9" s="21" t="str">
        <x:v>每周</x:v>
      </x:c>
    </x:row>
    <x:row r="10" ht="56" customHeight="1">
      <x:c r="A10" s="23" t="str">
        <x:v>W06</x:v>
      </x:c>
      <x:c r="B10" s="23" t="str">
        <x:v>经营数据</x:v>
      </x:c>
      <x:c r="C10" s="21" t="str">
        <x:v>库存与营运资金</x:v>
      </x:c>
      <x:c r="D10" s="21" t="str">
        <x:v>库存增减、90天+/180天+、周转、缺货、在途；应收、逾期、回款、返利跟进。</x:v>
      </x:c>
      <x:c r="E10" s="21" t="str">
        <x:v>对比上周和月初；列出新增与消化/回收金额。</x:v>
      </x:c>
      <x:c r="F10" s="21" t="str">
        <x:v>形成清库、补货、调拨和回款责任清单。</x:v>
      </x:c>
      <x:c r="G10" s="21" t="str">
        <x:v>主表必看</x:v>
      </x:c>
      <x:c r="H10" s="21" t="str">
        <x:v>每周</x:v>
      </x:c>
    </x:row>
    <x:row r="11" ht="56" customHeight="1">
      <x:c r="A11" s="23" t="str">
        <x:v>W07</x:v>
      </x:c>
      <x:c r="B11" s="23" t="str">
        <x:v>经营数据</x:v>
      </x:c>
      <x:c r="C11" s="21" t="str">
        <x:v>客户与服务质量</x:v>
      </x:c>
      <x:c r="D11" s="21" t="str">
        <x:v>退款/退货、重大投诉、中差评、履约及时率、重复问题和闭环时长。</x:v>
      </x:c>
      <x:c r="E11" s="21" t="str">
        <x:v>按渠道/门店分类，区分偶发与系统性问题。</x:v>
      </x:c>
      <x:c r="F11" s="21" t="str">
        <x:v>形成流程整改和责任追踪。</x:v>
      </x:c>
      <x:c r="G11" s="21" t="str">
        <x:v>异常复盘</x:v>
      </x:c>
      <x:c r="H11" s="21" t="str">
        <x:v>每周</x:v>
      </x:c>
    </x:row>
    <x:row r="12" ht="56" customHeight="1">
      <x:c r="A12" s="26" t="str">
        <x:v>W08</x:v>
      </x:c>
      <x:c r="B12" s="26" t="str">
        <x:v>管理数据</x:v>
      </x:c>
      <x:c r="C12" s="21" t="str">
        <x:v>重点事项闭环</x:v>
      </x:c>
      <x:c r="D12" s="21" t="str">
        <x:v>新增、到期、完成、逾期、按期完成率；老板批复执行结果；落后时间进度事项。</x:v>
      </x:c>
      <x:c r="E12" s="21" t="str">
        <x:v>到期口径固定，跨周事项保留原计划不重置。</x:v>
      </x:c>
      <x:c r="F12" s="21" t="str">
        <x:v>未完成项滚入下周并说明新节点与责任。</x:v>
      </x:c>
      <x:c r="G12" s="21" t="str">
        <x:v>主表必看</x:v>
      </x:c>
      <x:c r="H12" s="21" t="str">
        <x:v>每周</x:v>
      </x:c>
    </x:row>
    <x:row r="13" ht="56" customHeight="1">
      <x:c r="A13" s="26" t="str">
        <x:v>W09</x:v>
      </x:c>
      <x:c r="B13" s="26" t="str">
        <x:v>管理数据</x:v>
      </x:c>
      <x:c r="C13" s="21" t="str">
        <x:v>组织与人效</x:v>
      </x:c>
      <x:c r="D13" s="21" t="str">
        <x:v>关键岗位缺编、人员变动、人效/人均毛利、门店排班异常、关键培训/认证完成。</x:v>
      </x:c>
      <x:c r="E13" s="21" t="str">
        <x:v>只分析影响经营的差异；人效使用一致分母和期间。</x:v>
      </x:c>
      <x:c r="F13" s="21" t="str">
        <x:v>调整排班、招聘、激励或培训计划。</x:v>
      </x:c>
      <x:c r="G13" s="21" t="str">
        <x:v>异常/趋势</x:v>
      </x:c>
      <x:c r="H13" s="21" t="str">
        <x:v>每周</x:v>
      </x:c>
    </x:row>
    <x:row r="14" ht="56" customHeight="1">
      <x:c r="A14" s="26" t="str">
        <x:v>W10</x:v>
      </x:c>
      <x:c r="B14" s="26" t="str">
        <x:v>管理数据</x:v>
      </x:c>
      <x:c r="C14" s="21" t="str">
        <x:v>经营纪律与内控</x:v>
      </x:c>
      <x:c r="D14" s="21" t="str">
        <x:v>负毛利/低价订单、越权审批、合同节点、盘点差异、发票/对账异常、数据迟报。</x:v>
      </x:c>
      <x:c r="E14" s="21" t="str">
        <x:v>按制度阈值和授权清单判断，不用口头解释替代证据。</x:v>
      </x:c>
      <x:c r="F14" s="21" t="str">
        <x:v>整改、追责或提交制度修订。</x:v>
      </x:c>
      <x:c r="G14" s="21" t="str">
        <x:v>异常清单</x:v>
      </x:c>
      <x:c r="H14" s="21" t="str">
        <x:v>每周</x:v>
      </x:c>
    </x:row>
    <x:row r="15" ht="56" customHeight="1">
      <x:c r="A15" s="29" t="str">
        <x:v>W11</x:v>
      </x:c>
      <x:c r="B15" s="29" t="str">
        <x:v>重点事项和风控</x:v>
      </x:c>
      <x:c r="C15" s="21" t="str">
        <x:v>风险变化</x:v>
      </x:c>
      <x:c r="D15" s="21" t="str">
        <x:v>红黄风险期初、增加、关闭、期末；影响金额、剩余敞口和逾期处置。</x:v>
      </x:c>
      <x:c r="E15" s="21" t="str">
        <x:v>风险必须有关闭证据；长期黄灯需说明是否升级。</x:v>
      </x:c>
      <x:c r="F15" s="21" t="str">
        <x:v>确认处置优先级和资源。</x:v>
      </x:c>
      <x:c r="G15" s="21" t="str">
        <x:v>风险矩阵</x:v>
      </x:c>
      <x:c r="H15" s="21" t="str">
        <x:v>每周</x:v>
      </x:c>
    </x:row>
    <x:row r="16" ht="56" customHeight="1">
      <x:c r="A16" s="29" t="str">
        <x:v>W12</x:v>
      </x:c>
      <x:c r="B16" s="29" t="str">
        <x:v>重点事项和风控</x:v>
      </x:c>
      <x:c r="C16" s="21" t="str">
        <x:v>政策/返利/重大合同</x:v>
      </x:c>
      <x:c r="D16" s="21" t="str">
        <x:v>Apple/Shure政策与返利节点、平台规则、重大合同、国补回款、供应商交付变化。</x:v>
      </x:c>
      <x:c r="E16" s="21" t="str">
        <x:v>按预计金额、确认条件、到账/履约日期和不确定性分层。</x:v>
      </x:c>
      <x:c r="F16" s="21" t="str">
        <x:v>确定谈判、催收、备货或风险对冲动作。</x:v>
      </x:c>
      <x:c r="G16" s="21" t="str">
        <x:v>专项清单</x:v>
      </x:c>
      <x:c r="H16" s="21" t="str">
        <x:v>每周/事件触发</x:v>
      </x:c>
    </x:row>
    <x:row r="17" ht="56" customHeight="1">
      <x:c r="A17" s="29" t="str">
        <x:v>W13</x:v>
      </x:c>
      <x:c r="B17" s="29" t="str">
        <x:v>重点事项和风控</x:v>
      </x:c>
      <x:c r="C17" s="21" t="str">
        <x:v>下周部署与决策</x:v>
      </x:c>
      <x:c r="D17" s="21" t="str">
        <x:v>下周经营目标、三项重点动作、责任人、里程碑、资源/授权需求、决策截止。</x:v>
      </x:c>
      <x:c r="E17" s="21" t="str">
        <x:v>目标必须量化并成为下周日报跟踪基线。</x:v>
      </x:c>
      <x:c r="F17" s="21" t="str">
        <x:v>老板确认后锁定，不随意重置。</x:v>
      </x:c>
      <x:c r="G17" s="21" t="str">
        <x:v>周报结尾</x:v>
      </x:c>
      <x:c r="H17" s="21" t="str">
        <x:v>周会确认</x:v>
      </x:c>
    </x:row>
    <x:row r="18">
      <x:c r="A18" s="3"/>
      <x:c r="B18" s="3"/>
      <x:c r="C18" s="3"/>
      <x:c r="D18" s="3"/>
      <x:c r="E18" s="3"/>
      <x:c r="F18" s="3"/>
      <x:c r="G18" s="3"/>
      <x:c r="H18" s="3"/>
    </x:row>
    <x:row r="19">
      <x:c r="A19" s="3"/>
      <x:c r="B19" s="3"/>
      <x:c r="C19" s="3"/>
      <x:c r="D19" s="3"/>
      <x:c r="E19" s="3"/>
      <x:c r="F19" s="3"/>
      <x:c r="G19" s="3"/>
      <x:c r="H19" s="3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56" hidden="0" customWidth="1"/>
    <x:col min="5" max="5" width="45" hidden="0" customWidth="1"/>
    <x:col min="6" max="6" width="44" hidden="0" customWidth="1"/>
    <x:col min="7" max="7" width="24" hidden="0" customWidth="1"/>
    <x:col min="8" max="8" width="23" hidden="0" customWidth="1"/>
  </x:cols>
  <x:sheetData>
    <x:row r="1" ht="34" customHeight="1">
      <x:c r="A1" s="6" t="str">
        <x:v>月度经营管理报告框架</x:v>
      </x:c>
      <x:c r="B1" s="6"/>
      <x:c r="C1" s="6"/>
      <x:c r="D1" s="6"/>
      <x:c r="E1" s="6"/>
      <x:c r="F1" s="6"/>
      <x:c r="G1" s="6"/>
      <x:c r="H1" s="6"/>
    </x:row>
    <x:row r="2" ht="24" customHeight="1">
      <x:c r="A2" s="9" t="str">
        <x:v>月报看完整损益、现金、资产质量、组织效能与资源配置，使用财务最终口径</x:v>
      </x:c>
      <x:c r="B2" s="9"/>
      <x:c r="C2" s="9"/>
      <x:c r="D2" s="9"/>
      <x:c r="E2" s="9"/>
      <x:c r="F2" s="9"/>
      <x:c r="G2" s="9"/>
      <x:c r="H2" s="9"/>
    </x:row>
    <x:row r="3" ht="28" customHeight="1">
      <x:c r="A3" s="11" t="str">
        <x:v>一级结构固定为：经营数据、管理数据、重点事项和风控；“老板摘要”只汇总三大板块的结论，不新增数据口径。</x:v>
      </x:c>
      <x:c r="B3" s="11"/>
      <x:c r="C3" s="11"/>
      <x:c r="D3" s="11"/>
      <x:c r="E3" s="11"/>
      <x:c r="F3" s="11"/>
      <x:c r="G3" s="11"/>
      <x:c r="H3" s="11"/>
    </x:row>
    <x:row r="4" ht="30" customHeight="1">
      <x:c r="A4" s="18" t="str">
        <x:v>序号</x:v>
      </x:c>
      <x:c r="B4" s="18" t="str">
        <x:v>一级板块</x:v>
      </x:c>
      <x:c r="C4" s="18" t="str">
        <x:v>管理主题</x:v>
      </x:c>
      <x:c r="D4" s="18" t="str">
        <x:v>主表必呈现内容</x:v>
      </x:c>
      <x:c r="E4" s="18" t="str">
        <x:v>比较/分析口径</x:v>
      </x:c>
      <x:c r="F4" s="18" t="str">
        <x:v>异常后管理动作</x:v>
      </x:c>
      <x:c r="G4" s="18" t="str">
        <x:v>呈现层级</x:v>
      </x:c>
      <x:c r="H4" s="18" t="str">
        <x:v>数据时点</x:v>
      </x:c>
    </x:row>
    <x:row r="5" ht="58" customHeight="1">
      <x:c r="A5" s="41" t="str">
        <x:v>M01</x:v>
      </x:c>
      <x:c r="B5" s="41" t="str">
        <x:v>老板摘要</x:v>
      </x:c>
      <x:c r="C5" s="21" t="str">
        <x:v>月度经营结论</x:v>
      </x:c>
      <x:c r="D5" s="21" t="str">
        <x:v>一页呈现经营结果、预算偏差、现金与库存质量、主要风险、管理评价及下月三项决策。</x:v>
      </x:c>
      <x:c r="E5" s="21" t="str">
        <x:v>实际对预算/目标、去年同期、上月和滚动预测。</x:v>
      </x:c>
      <x:c r="F5" s="21" t="str">
        <x:v>形成下月预算、经营目标和资源配置决定。</x:v>
      </x:c>
      <x:c r="G5" s="21" t="str">
        <x:v>首页置顶</x:v>
      </x:c>
      <x:c r="H5" s="21" t="str">
        <x:v>次月5日前</x:v>
      </x:c>
    </x:row>
    <x:row r="6" ht="58" customHeight="1">
      <x:c r="A6" s="23" t="str">
        <x:v>M02</x:v>
      </x:c>
      <x:c r="B6" s="23" t="str">
        <x:v>经营数据</x:v>
      </x:c>
      <x:c r="C6" s="21" t="str">
        <x:v>完整损益</x:v>
      </x:c>
      <x:c r="D6" s="21" t="str">
        <x:v>销售收入、销售成本、毛利、经营费用、营业利润/净利润、净利率；预算与同比差异。</x:v>
      </x:c>
      <x:c r="E6" s="21" t="str">
        <x:v>财务最终口径；拆出暂估返利、一次性事项和会计调整。</x:v>
      </x:c>
      <x:c r="F6" s="21" t="str">
        <x:v>解释重大差异并确定整改责任。</x:v>
      </x:c>
      <x:c r="G6" s="21" t="str">
        <x:v>主表必看</x:v>
      </x:c>
      <x:c r="H6" s="21" t="str">
        <x:v>月结</x:v>
      </x:c>
    </x:row>
    <x:row r="7" ht="58" customHeight="1">
      <x:c r="A7" s="23" t="str">
        <x:v>M03</x:v>
      </x:c>
      <x:c r="B7" s="23" t="str">
        <x:v>经营数据</x:v>
      </x:c>
      <x:c r="C7" s="21" t="str">
        <x:v>预算与滚动预测</x:v>
      </x:c>
      <x:c r="D7" s="21" t="str">
        <x:v>本月达成、年累计、年度预算进度、未来3个月滚动预测、缺口和关键假设。</x:v>
      </x:c>
      <x:c r="E7" s="21" t="str">
        <x:v>实际/预算/预测版本可追溯；偏差按金额和比例。</x:v>
      </x:c>
      <x:c r="F7" s="21" t="str">
        <x:v>调整目标、费用、库存和现金计划。</x:v>
      </x:c>
      <x:c r="G7" s="21" t="str">
        <x:v>主表必看</x:v>
      </x:c>
      <x:c r="H7" s="21" t="str">
        <x:v>月结后</x:v>
      </x:c>
    </x:row>
    <x:row r="8" ht="58" customHeight="1">
      <x:c r="A8" s="23" t="str">
        <x:v>M04</x:v>
      </x:c>
      <x:c r="B8" s="23" t="str">
        <x:v>经营数据</x:v>
      </x:c>
      <x:c r="C8" s="21" t="str">
        <x:v>板块经营质量</x:v>
      </x:c>
      <x:c r="D8" s="21" t="str">
        <x:v>APR、Apple电商、Shure电商、3PP：收入、毛利、可控费用、贡献利润、现金/库存占用、同比和预算。</x:v>
      </x:c>
      <x:c r="E8" s="21" t="str">
        <x:v>统一内部管理口径，避免只按GMV排名。</x:v>
      </x:c>
      <x:c r="F8" s="21" t="str">
        <x:v>决定资源倾斜、整改或退出。</x:v>
      </x:c>
      <x:c r="G8" s="21" t="str">
        <x:v>贡献矩阵</x:v>
      </x:c>
      <x:c r="H8" s="21" t="str">
        <x:v>每月</x:v>
      </x:c>
    </x:row>
    <x:row r="9" ht="58" customHeight="1">
      <x:c r="A9" s="23" t="str">
        <x:v>M05</x:v>
      </x:c>
      <x:c r="B9" s="23" t="str">
        <x:v>经营数据</x:v>
      </x:c>
      <x:c r="C9" s="21" t="str">
        <x:v>门店/渠道组合</x:v>
      </x:c>
      <x:c r="D9" s="21" t="str">
        <x:v>同店增长、门店/渠道贡献、盈利分层、效率排名、持续亏损/低效单元。</x:v>
      </x:c>
      <x:c r="E9" s="21" t="str">
        <x:v>剔除新开/关店和一次性活动影响；同店口径固定。</x:v>
      </x:c>
      <x:c r="F9" s="21" t="str">
        <x:v>形成激励、整改、资源调整清单。</x:v>
      </x:c>
      <x:c r="G9" s="21" t="str">
        <x:v>主表+附表</x:v>
      </x:c>
      <x:c r="H9" s="21" t="str">
        <x:v>每月</x:v>
      </x:c>
    </x:row>
    <x:row r="10" ht="58" customHeight="1">
      <x:c r="A10" s="23" t="str">
        <x:v>M06</x:v>
      </x:c>
      <x:c r="B10" s="23" t="str">
        <x:v>经营数据</x:v>
      </x:c>
      <x:c r="C10" s="21" t="str">
        <x:v>商品与毛利结构</x:v>
      </x:c>
      <x:c r="D10" s="21" t="str">
        <x:v>主机/配件/服务、Shure核心SKU、3PP品牌/项目的销售占比、毛利贡献、新品和低效SKU。</x:v>
      </x:c>
      <x:c r="E10" s="21" t="str">
        <x:v>拆解价格、销量、品类/渠道结构对毛利率的影响。</x:v>
      </x:c>
      <x:c r="F10" s="21" t="str">
        <x:v>调整选品、价格、促销和采购。</x:v>
      </x:c>
      <x:c r="G10" s="21" t="str">
        <x:v>主表分析</x:v>
      </x:c>
      <x:c r="H10" s="21" t="str">
        <x:v>每月</x:v>
      </x:c>
    </x:row>
    <x:row r="11" ht="58" customHeight="1">
      <x:c r="A11" s="23" t="str">
        <x:v>M07</x:v>
      </x:c>
      <x:c r="B11" s="23" t="str">
        <x:v>经营数据</x:v>
      </x:c>
      <x:c r="C11" s="21" t="str">
        <x:v>费用与投入产出</x:v>
      </x:c>
      <x:c r="D11" s="21" t="str">
        <x:v>人工、租金、推广、平台、优惠、物流、售后等费用及费用率；活动增量毛利、ROAS。</x:v>
      </x:c>
      <x:c r="E11" s="21" t="str">
        <x:v>区分固定/变动、可控/不可控、经常/一次性。</x:v>
      </x:c>
      <x:c r="F11" s="21" t="str">
        <x:v>确定降本和投放预算。</x:v>
      </x:c>
      <x:c r="G11" s="21" t="str">
        <x:v>费用结构</x:v>
      </x:c>
      <x:c r="H11" s="21" t="str">
        <x:v>每月</x:v>
      </x:c>
    </x:row>
    <x:row r="12" ht="58" customHeight="1">
      <x:c r="A12" s="23" t="str">
        <x:v>M08</x:v>
      </x:c>
      <x:c r="B12" s="23" t="str">
        <x:v>经营数据</x:v>
      </x:c>
      <x:c r="C12" s="21" t="str">
        <x:v>现金流与营运资金</x:v>
      </x:c>
      <x:c r="D12" s="21" t="str">
        <x:v>经营现金净流量、资金余额/受限资金、应收/应付、DSO/DIO/DPO、现金转换周期、未来30/60/90天需求。</x:v>
      </x:c>
      <x:c r="E12" s="21" t="str">
        <x:v>现金流与利润差异解释；大额收付款有合同/审批依据。</x:v>
      </x:c>
      <x:c r="F12" s="21" t="str">
        <x:v>形成融资、收款、付款和库存压降计划。</x:v>
      </x:c>
      <x:c r="G12" s="21" t="str">
        <x:v>主表必看</x:v>
      </x:c>
      <x:c r="H12" s="21" t="str">
        <x:v>每月</x:v>
      </x:c>
    </x:row>
    <x:row r="13" ht="58" customHeight="1">
      <x:c r="A13" s="23" t="str">
        <x:v>M09</x:v>
      </x:c>
      <x:c r="B13" s="23" t="str">
        <x:v>经营数据</x:v>
      </x:c>
      <x:c r="C13" s="21" t="str">
        <x:v>库存质量与减值</x:v>
      </x:c>
      <x:c r="D13" s="21" t="str">
        <x:v>库存金额、库龄、周转、GMROI、90天+/180天+、残次/样机、盘点差异、预计跌价/清理损失。</x:v>
      </x:c>
      <x:c r="E13" s="21" t="str">
        <x:v>库存成本、可售状态和库龄规则统一；减值风险单独列示。</x:v>
      </x:c>
      <x:c r="F13" s="21" t="str">
        <x:v>确定采购、调拨、清库、减值和责任措施。</x:v>
      </x:c>
      <x:c r="G13" s="21" t="str">
        <x:v>主表必看</x:v>
      </x:c>
      <x:c r="H13" s="21" t="str">
        <x:v>每月</x:v>
      </x:c>
    </x:row>
    <x:row r="14" ht="58" customHeight="1">
      <x:c r="A14" s="23" t="str">
        <x:v>M10</x:v>
      </x:c>
      <x:c r="B14" s="23" t="str">
        <x:v>经营数据</x:v>
      </x:c>
      <x:c r="C14" s="21" t="str">
        <x:v>应收、返利与信用</x:v>
      </x:c>
      <x:c r="D14" s="21" t="str">
        <x:v>应收账龄、逾期率、回款率、客户/平台信用风险；品牌返利预计、已确认、已到账及差异。</x:v>
      </x:c>
      <x:c r="E14" s="21" t="str">
        <x:v>未满足确认条件的返利不作为确定利润；客户信用额度留痕。</x:v>
      </x:c>
      <x:c r="F14" s="21" t="str">
        <x:v>形成催收、信用收紧、返利跟进计划。</x:v>
      </x:c>
      <x:c r="G14" s="21" t="str">
        <x:v>主表必看</x:v>
      </x:c>
      <x:c r="H14" s="21" t="str">
        <x:v>每月</x:v>
      </x:c>
    </x:row>
    <x:row r="15" ht="58" customHeight="1">
      <x:c r="A15" s="23" t="str">
        <x:v>M11</x:v>
      </x:c>
      <x:c r="B15" s="23" t="str">
        <x:v>经营数据</x:v>
      </x:c>
      <x:c r="C15" s="21" t="str">
        <x:v>集中度与外部依赖</x:v>
      </x:c>
      <x:c r="D15" s="21" t="str">
        <x:v>前五客户/渠道/供应商销售、毛利和应收占比；重大政策、平台和供应风险。</x:v>
      </x:c>
      <x:c r="E15" s="21" t="str">
        <x:v>集中度按统一主体归并，关联客户不重复拆分。</x:v>
      </x:c>
      <x:c r="F15" s="21" t="str">
        <x:v>制定备选渠道、客户和供应安排。</x:v>
      </x:c>
      <x:c r="G15" s="21" t="str">
        <x:v>风险摘要</x:v>
      </x:c>
      <x:c r="H15" s="21" t="str">
        <x:v>每月</x:v>
      </x:c>
    </x:row>
    <x:row r="16" ht="58" customHeight="1">
      <x:c r="A16" s="26" t="str">
        <x:v>M12</x:v>
      </x:c>
      <x:c r="B16" s="26" t="str">
        <x:v>管理数据</x:v>
      </x:c>
      <x:c r="C16" s="21" t="str">
        <x:v>组织效能</x:v>
      </x:c>
      <x:c r="D16" s="21" t="str">
        <x:v>编制、在岗、流失、关键岗位缺口、人效、人均毛利、人工成本率、培训/认证、关键人才风险。</x:v>
      </x:c>
      <x:c r="E16" s="21" t="str">
        <x:v>按责任单元比较，避免只看人数不看产出。</x:v>
      </x:c>
      <x:c r="F16" s="21" t="str">
        <x:v>确定招聘、调整、激励与培养方案。</x:v>
      </x:c>
      <x:c r="G16" s="21" t="str">
        <x:v>主表分析</x:v>
      </x:c>
      <x:c r="H16" s="21" t="str">
        <x:v>每月</x:v>
      </x:c>
    </x:row>
    <x:row r="17" ht="58" customHeight="1">
      <x:c r="A17" s="26" t="str">
        <x:v>M13</x:v>
      </x:c>
      <x:c r="B17" s="26" t="str">
        <x:v>管理数据</x:v>
      </x:c>
      <x:c r="C17" s="21" t="str">
        <x:v>战略项目与资本投入</x:v>
      </x:c>
      <x:c r="D17" s="21" t="str">
        <x:v>新店/改造、系统、渠道拓展、新品牌/产品导入等项目预算、实际、里程碑、收益和偏差。</x:v>
      </x:c>
      <x:c r="E17" s="21" t="str">
        <x:v>项目立项、预算、验收和收益口径一致。</x:v>
      </x:c>
      <x:c r="F17" s="21" t="str">
        <x:v>继续、调整、暂停或追加资源。</x:v>
      </x:c>
      <x:c r="G17" s="21" t="str">
        <x:v>项目组合</x:v>
      </x:c>
      <x:c r="H17" s="21" t="str">
        <x:v>每月</x:v>
      </x:c>
    </x:row>
    <x:row r="18" ht="58" customHeight="1">
      <x:c r="A18" s="26" t="str">
        <x:v>M14</x:v>
      </x:c>
      <x:c r="B18" s="26" t="str">
        <x:v>管理数据</x:v>
      </x:c>
      <x:c r="C18" s="21" t="str">
        <x:v>内控与合规</x:v>
      </x:c>
      <x:c r="D18" s="21" t="str">
        <x:v>合同、价格、采购、付款、发票、税务、盘点、平台规则、信息安全、印章/权限等重大异常及整改。</x:v>
      </x:c>
      <x:c r="E18" s="21" t="str">
        <x:v>参照上市公司经营会的重大性、责任、证据和闭环逻辑，但按公司现有制度落地。</x:v>
      </x:c>
      <x:c r="F18" s="21" t="str">
        <x:v>整改、问责、制度修订或专项审计。</x:v>
      </x:c>
      <x:c r="G18" s="21" t="str">
        <x:v>异常清单</x:v>
      </x:c>
      <x:c r="H18" s="21" t="str">
        <x:v>每月/事件触发</x:v>
      </x:c>
    </x:row>
    <x:row r="19" ht="58" customHeight="1">
      <x:c r="A19" s="26" t="str">
        <x:v>M15</x:v>
      </x:c>
      <x:c r="B19" s="26" t="str">
        <x:v>管理数据</x:v>
      </x:c>
      <x:c r="C19" s="21" t="str">
        <x:v>管理承诺兑现</x:v>
      </x:c>
      <x:c r="D19" s="21" t="str">
        <x:v>上月行动项完成率、逾期项、老板批复执行、重复发生问题、数据及时与准确情况。</x:v>
      </x:c>
      <x:c r="E19" s="21" t="str">
        <x:v>只以验证结果认定关闭，不以“已沟通”认定完成。</x:v>
      </x:c>
      <x:c r="F19" s="21" t="str">
        <x:v>纳入负责人月度评价。</x:v>
      </x:c>
      <x:c r="G19" s="21" t="str">
        <x:v>主表必看</x:v>
      </x:c>
      <x:c r="H19" s="21" t="str">
        <x:v>每月</x:v>
      </x:c>
    </x:row>
    <x:row r="20" ht="58" customHeight="1">
      <x:c r="A20" s="29" t="str">
        <x:v>M16</x:v>
      </x:c>
      <x:c r="B20" s="29" t="str">
        <x:v>重点事项和风控</x:v>
      </x:c>
      <x:c r="C20" s="21" t="str">
        <x:v>重大风险与或有事项</x:v>
      </x:c>
      <x:c r="D20" s="21" t="str">
        <x:v>经营、库存、信用、平台、合规、人员、数据风险；合同承诺、争议、诉讼/处罚、预计损失和剩余敞口。</x:v>
      </x:c>
      <x:c r="E20" s="21" t="str">
        <x:v>按影响金额、发生概率、可控性和时效分级。</x:v>
      </x:c>
      <x:c r="F20" s="21" t="str">
        <x:v>确认风险偏好、处置预算和负责人。</x:v>
      </x:c>
      <x:c r="G20" s="21" t="str">
        <x:v>风险矩阵</x:v>
      </x:c>
      <x:c r="H20" s="21" t="str">
        <x:v>每月</x:v>
      </x:c>
    </x:row>
    <x:row r="21" ht="58" customHeight="1">
      <x:c r="A21" s="29" t="str">
        <x:v>M17</x:v>
      </x:c>
      <x:c r="B21" s="29" t="str">
        <x:v>重点事项和风控</x:v>
      </x:c>
      <x:c r="C21" s="21" t="str">
        <x:v>下月目标与资源决策</x:v>
      </x:c>
      <x:c r="D21" s="21" t="str">
        <x:v>销售、毛利、费用、现金、库存目标；重点动作、预算、人力、库存和授权需求；责任人与里程碑。</x:v>
      </x:c>
      <x:c r="E21" s="21" t="str">
        <x:v>目标与年度预算、滚动预测和风险承受能力一致。</x:v>
      </x:c>
      <x:c r="F21" s="21" t="str">
        <x:v>老板确认后成为下月日报/周报基线。</x:v>
      </x:c>
      <x:c r="G21" s="21" t="str">
        <x:v>报告结尾</x:v>
      </x:c>
      <x:c r="H21" s="21" t="str">
        <x:v>月会确认</x:v>
      </x:c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>
      <x:c r="A23" s="3"/>
      <x:c r="B23" s="3"/>
      <x:c r="C23" s="3"/>
      <x:c r="D23" s="3"/>
      <x:c r="E23" s="3"/>
      <x:c r="F23" s="3"/>
      <x:c r="G23" s="3"/>
      <x:c r="H23" s="3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5" hidden="0" customWidth="1"/>
    <x:col min="4" max="4" width="27" hidden="0" customWidth="1"/>
    <x:col min="5" max="5" width="36" hidden="0" customWidth="1"/>
    <x:col min="6" max="6" width="32" hidden="0" customWidth="1"/>
    <x:col min="7" max="7" width="31" hidden="0" customWidth="1"/>
    <x:col min="8" max="8" width="34" hidden="0" customWidth="1"/>
    <x:col min="9" max="9" width="25" hidden="0" customWidth="1"/>
    <x:col min="10" max="10" width="28" hidden="0" customWidth="1"/>
  </x:cols>
  <x:sheetData>
    <x:row r="1" ht="34" customHeight="1">
      <x:c r="A1" s="6" t="str">
        <x:v>业务板块经营分析边界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4" customHeight="1">
      <x:c r="A2" s="9" t="str">
        <x:v>收入板块与职能支撑分开；渠道范围按江苏传天羽当前实际业务确定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8" customHeight="1">
      <x:c r="A3" s="55" t="str">
        <x:v>四大经营板块：APR门店、Apple电商、Shure电商、3PP/渠道分销。内容营销、综合办/人事、财务、采销/商务属于经营支撑，不重复计入销售。</x:v>
      </x:c>
      <x:c r="B3" s="55"/>
      <x:c r="C3" s="55"/>
      <x:c r="D3" s="55"/>
      <x:c r="E3" s="55"/>
      <x:c r="F3" s="55"/>
      <x:c r="G3" s="55"/>
      <x:c r="H3" s="55"/>
      <x:c r="I3" s="55"/>
      <x:c r="J3" s="55"/>
    </x:row>
    <x:row r="4" ht="30" customHeight="1">
      <x:c r="A4" s="18" t="str">
        <x:v>业务单元</x:v>
      </x:c>
      <x:c r="B4" s="18" t="str">
        <x:v>实际渠道/范围</x:v>
      </x:c>
      <x:c r="C4" s="18" t="str">
        <x:v>经营结果</x:v>
      </x:c>
      <x:c r="D4" s="18" t="str">
        <x:v>盈利质量</x:v>
      </x:c>
      <x:c r="E4" s="18" t="str">
        <x:v>关键经营驱动</x:v>
      </x:c>
      <x:c r="F4" s="18" t="str">
        <x:v>库存与资金</x:v>
      </x:c>
      <x:c r="G4" s="18" t="str">
        <x:v>管理数据</x:v>
      </x:c>
      <x:c r="H4" s="18" t="str">
        <x:v>重点事项和风控</x:v>
      </x:c>
      <x:c r="I4" s="18" t="str">
        <x:v>日报主表</x:v>
      </x:c>
      <x:c r="J4" s="18" t="str">
        <x:v>周/月下钻</x:v>
      </x:c>
    </x:row>
    <x:row r="5" ht="65" customHeight="1">
      <x:c r="A5" s="21" t="str">
        <x:v>公司总盘</x:v>
      </x:c>
      <x:c r="B5" s="21" t="str">
        <x:v>四大经营板块汇总</x:v>
      </x:c>
      <x:c r="C5" s="21" t="str">
        <x:v>实销、毛利、目标达成、订单</x:v>
      </x:c>
      <x:c r="D5" s="21" t="str">
        <x:v>贡献毛利、预算差异</x:v>
      </x:c>
      <x:c r="E5" s="21" t="str">
        <x:v>板块增量贡献</x:v>
      </x:c>
      <x:c r="F5" s="21" t="str">
        <x:v>库存、应收、现金预警</x:v>
      </x:c>
      <x:c r="G5" s="21" t="str">
        <x:v>任务完成、数据质量</x:v>
      </x:c>
      <x:c r="H5" s="21" t="str">
        <x:v>重大风险、老板决策</x:v>
      </x:c>
      <x:c r="I5" s="21" t="str">
        <x:v>结论+异常</x:v>
      </x:c>
      <x:c r="J5" s="21" t="str">
        <x:v>完整损益、现金与资源配置</x:v>
      </x:c>
    </x:row>
    <x:row r="6" ht="65" customHeight="1">
      <x:c r="A6" s="21" t="str">
        <x:v>APR门店</x:v>
      </x:c>
      <x:c r="B6" s="21" t="str">
        <x:v>各Apple授权零售门店</x:v>
      </x:c>
      <x:c r="C6" s="21" t="str">
        <x:v>门店销售、毛利、完成率</x:v>
      </x:c>
      <x:c r="D6" s="21" t="str">
        <x:v>同店增长、门店贡献</x:v>
      </x:c>
      <x:c r="E6" s="21" t="str">
        <x:v>客流、转化、客单、配件/服务连带、ACS、Trade In、Setup</x:v>
      </x:c>
      <x:c r="F6" s="21" t="str">
        <x:v>门店库存、缺货、90天+、样机/残次</x:v>
      </x:c>
      <x:c r="G6" s="21" t="str">
        <x:v>排班、人效、培训认证、门店合规</x:v>
      </x:c>
      <x:c r="H6" s="21" t="str">
        <x:v>低效门店、价格/激活/陈列风险</x:v>
      </x:c>
      <x:c r="I6" s="21" t="str">
        <x:v>仅TOP/末位和异常店</x:v>
      </x:c>
      <x:c r="J6" s="21" t="str">
        <x:v>门店/员工/品类下钻</x:v>
      </x:c>
    </x:row>
    <x:row r="7" ht="65" customHeight="1">
      <x:c r="A7" s="21" t="str">
        <x:v>Apple电商</x:v>
      </x:c>
      <x:c r="B7" s="21" t="str">
        <x:v>京东羽通、苏宁啟韬；不含天猫</x:v>
      </x:c>
      <x:c r="C7" s="21" t="str">
        <x:v>GMV、实销、订单、毛利</x:v>
      </x:c>
      <x:c r="D7" s="21" t="str">
        <x:v>净贡献、费用率、退款影响</x:v>
      </x:c>
      <x:c r="E7" s="21" t="str">
        <x:v>UV、转化、客单、推广ROAS、履约</x:v>
      </x:c>
      <x:c r="F7" s="21" t="str">
        <x:v>渠道库存、缺货、库龄、激活</x:v>
      </x:c>
      <x:c r="G7" s="21" t="str">
        <x:v>活动节点、客服与售后效率</x:v>
      </x:c>
      <x:c r="H7" s="21" t="str">
        <x:v>负毛利、异常优惠、平台/激活风险</x:v>
      </x:c>
      <x:c r="I7" s="21" t="str">
        <x:v>两渠道异常摘要</x:v>
      </x:c>
      <x:c r="J7" s="21" t="str">
        <x:v>平台、活动、SKU下钻</x:v>
      </x:c>
    </x:row>
    <x:row r="8" ht="65" customHeight="1">
      <x:c r="A8" s="21" t="str">
        <x:v>Shure电商</x:v>
      </x:c>
      <x:c r="B8" s="21" t="str">
        <x:v>京东官方旗舰店、天猫官方旗舰店</x:v>
      </x:c>
      <x:c r="C8" s="21" t="str">
        <x:v>实销、订单、毛利、目标</x:v>
      </x:c>
      <x:c r="D8" s="21" t="str">
        <x:v>净贡献、SKU毛利结构</x:v>
      </x:c>
      <x:c r="E8" s="21" t="str">
        <x:v>UV、转化、客单、推广ROAS、核心产品</x:v>
      </x:c>
      <x:c r="F8" s="21" t="str">
        <x:v>库存、周转、90天+、缺货</x:v>
      </x:c>
      <x:c r="G8" s="21" t="str">
        <x:v>活动、客服、售后、内容协同</x:v>
      </x:c>
      <x:c r="H8" s="21" t="str">
        <x:v>核心SKU集中、滞销、平台风险</x:v>
      </x:c>
      <x:c r="I8" s="21" t="str">
        <x:v>异常摘要</x:v>
      </x:c>
      <x:c r="J8" s="21" t="str">
        <x:v>平台、品类、SKU下钻</x:v>
      </x:c>
    </x:row>
    <x:row r="9" ht="65" customHeight="1">
      <x:c r="A9" s="21" t="str">
        <x:v>3PP/渠道分销</x:v>
      </x:c>
      <x:c r="B9" s="21" t="str">
        <x:v>品牌、客户、项目、区域与铺货门店</x:v>
      </x:c>
      <x:c r="C9" s="21" t="str">
        <x:v>销售、毛利、订单、客户</x:v>
      </x:c>
      <x:c r="D9" s="21" t="str">
        <x:v>客户/项目贡献、返利影响</x:v>
      </x:c>
      <x:c r="E9" s="21" t="str">
        <x:v>新增客户、产品导入、铺货、动销</x:v>
      </x:c>
      <x:c r="F9" s="21" t="str">
        <x:v>库存、应收、回款、信用额度</x:v>
      </x:c>
      <x:c r="G9" s="21" t="str">
        <x:v>项目里程碑、合同与交付</x:v>
      </x:c>
      <x:c r="H9" s="21" t="str">
        <x:v>逾期应收、项目、合规和库存风险</x:v>
      </x:c>
      <x:c r="I9" s="21" t="str">
        <x:v>异常摘要</x:v>
      </x:c>
      <x:c r="J9" s="21" t="str">
        <x:v>客户、品牌、项目、产品下钻</x:v>
      </x:c>
    </x:row>
    <x:row r="10" ht="65" customHeight="1">
      <x:c r="A10" s="21" t="str">
        <x:v>内容营销</x:v>
      </x:c>
      <x:c r="B10" s="21" t="str">
        <x:v>小红书、抖音、视频号等经营支撑</x:v>
      </x:c>
      <x:c r="C10" s="21" t="str">
        <x:v>不作为独立收入板块</x:v>
      </x:c>
      <x:c r="D10" s="21" t="str">
        <x:v>投入与辅助转化/活动增量</x:v>
      </x:c>
      <x:c r="E10" s="21" t="str">
        <x:v>发布、触达、互动、引流、门店矩阵</x:v>
      </x:c>
      <x:c r="F10" s="21" t="str">
        <x:v>不单列经营库存</x:v>
      </x:c>
      <x:c r="G10" s="21" t="str">
        <x:v>计划完成、内容质量、协同效率</x:v>
      </x:c>
      <x:c r="H10" s="21" t="str">
        <x:v>舆情、违规、预算和交付风险</x:v>
      </x:c>
      <x:c r="I10" s="21" t="str">
        <x:v>只报爆款/未完成/异常</x:v>
      </x:c>
      <x:c r="J10" s="21" t="str">
        <x:v>周/月复盘投入产出</x:v>
      </x:c>
    </x:row>
    <x:row r="11" ht="65" customHeight="1">
      <x:c r="A11" s="21" t="str">
        <x:v>职能保障</x:v>
      </x:c>
      <x:c r="B11" s="21" t="str">
        <x:v>综合办/人事、财务、采销/商务</x:v>
      </x:c>
      <x:c r="C11" s="21" t="str">
        <x:v>不并入经营板块销售</x:v>
      </x:c>
      <x:c r="D11" s="21" t="str">
        <x:v>费用、资金、资源效率</x:v>
      </x:c>
      <x:c r="E11" s="21" t="str">
        <x:v>制度、人员、供应链与数据保障</x:v>
      </x:c>
      <x:c r="F11" s="21" t="str">
        <x:v>库存资金、应收应付、盘点</x:v>
      </x:c>
      <x:c r="G11" s="21" t="str">
        <x:v>重点任务、内控、数据质量</x:v>
      </x:c>
      <x:c r="H11" s="21" t="str">
        <x:v>人员、合同、资金、税务、信息安全</x:v>
      </x:c>
      <x:c r="I11" s="21" t="str">
        <x:v>只报经营影响异常</x:v>
      </x:c>
      <x:c r="J11" s="21" t="str">
        <x:v>月度组织与治理复盘</x:v>
      </x:c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36" hidden="0" customWidth="1"/>
    <x:col min="4" max="4" width="43" hidden="0" customWidth="1"/>
    <x:col min="5" max="5" width="17" hidden="0" customWidth="1"/>
    <x:col min="6" max="6" width="18" hidden="0" customWidth="1"/>
    <x:col min="7" max="7" width="20" hidden="0" customWidth="1"/>
    <x:col min="8" max="8" width="24" hidden="0" customWidth="1"/>
    <x:col min="9" max="9" width="29" hidden="0" customWidth="1"/>
    <x:col min="10" max="10" width="29" hidden="0" customWidth="1"/>
  </x:cols>
  <x:sheetData>
    <x:row r="1" ht="34" customHeight="1">
      <x:c r="A1" s="6" t="str">
        <x:v>管理数据四维流程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4" customHeight="1">
      <x:c r="A2" s="9" t="str">
        <x:v>按会议原意围绕业务流程展开：物 · 人 · 外部资源 · 内部合规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8" customHeight="1">
      <x:c r="A3" s="55" t="str">
        <x:v>管理数据不是行政流水账，只报告影响经营结果、资源配置、执行质量和风险闭环的过程信息。</x:v>
      </x:c>
      <x:c r="B3" s="55"/>
      <x:c r="C3" s="55"/>
      <x:c r="D3" s="55"/>
      <x:c r="E3" s="55"/>
      <x:c r="F3" s="55"/>
      <x:c r="G3" s="55"/>
      <x:c r="H3" s="55"/>
      <x:c r="I3" s="55"/>
      <x:c r="J3" s="55"/>
    </x:row>
    <x:row r="4" ht="30" customHeight="1">
      <x:c r="A4" s="18" t="str">
        <x:v>维度</x:v>
      </x:c>
      <x:c r="B4" s="18" t="str">
        <x:v>管理主题</x:v>
      </x:c>
      <x:c r="C4" s="18" t="str">
        <x:v>流程/对象</x:v>
      </x:c>
      <x:c r="D4" s="18" t="str">
        <x:v>指标与证据</x:v>
      </x:c>
      <x:c r="E4" s="18" t="str">
        <x:v>日报</x:v>
      </x:c>
      <x:c r="F4" s="18" t="str">
        <x:v>周报</x:v>
      </x:c>
      <x:c r="G4" s="18" t="str">
        <x:v>月报</x:v>
      </x:c>
      <x:c r="H4" s="18" t="str">
        <x:v>第一责任</x:v>
      </x:c>
      <x:c r="I4" s="18" t="str">
        <x:v>风险触发</x:v>
      </x:c>
      <x:c r="J4" s="18" t="str">
        <x:v>管理输出</x:v>
      </x:c>
    </x:row>
    <x:row r="5" ht="54" customHeight="1">
      <x:c r="A5" s="24" t="str">
        <x:v>物</x:v>
      </x:c>
      <x:c r="B5" s="21" t="str">
        <x:v>采购订单→商品规划→产品流转</x:v>
      </x:c>
      <x:c r="C5" s="21" t="str">
        <x:v>需求/采购/到货/分货/上架/销售/退换</x:v>
      </x:c>
      <x:c r="D5" s="21" t="str">
        <x:v>订单、到货、缺货、周转、库龄、异常流转</x:v>
      </x:c>
      <x:c r="E5" s="21" t="str">
        <x:v>重大缺口/异常</x:v>
      </x:c>
      <x:c r="F5" s="21" t="str">
        <x:v>流程效率/差异</x:v>
      </x:c>
      <x:c r="G5" s="21" t="str">
        <x:v>周转与资产质量</x:v>
      </x:c>
      <x:c r="H5" s="21" t="str">
        <x:v>采销/商务/业务</x:v>
      </x:c>
      <x:c r="I5" s="21" t="str">
        <x:v>断货、超期、越权</x:v>
      </x:c>
      <x:c r="J5" s="21" t="str">
        <x:v>补货/调拨/清库/纠偏</x:v>
      </x:c>
    </x:row>
    <x:row r="6" ht="54" customHeight="1">
      <x:c r="A6" s="24" t="str">
        <x:v>物</x:v>
      </x:c>
      <x:c r="B6" s="21" t="str">
        <x:v>资金流转与结算</x:v>
      </x:c>
      <x:c r="C6" s="21" t="str">
        <x:v>收入入账/付款/退款/对账/结算</x:v>
      </x:c>
      <x:c r="D6" s="21" t="str">
        <x:v>收付款、应收应付、异常退款、账实差异</x:v>
      </x:c>
      <x:c r="E6" s="21" t="str">
        <x:v>越线异常</x:v>
      </x:c>
      <x:c r="F6" s="21" t="str">
        <x:v>回款/结算进度</x:v>
      </x:c>
      <x:c r="G6" s="21" t="str">
        <x:v>现金与营运资金</x:v>
      </x:c>
      <x:c r="H6" s="21" t="str">
        <x:v>财务/业务</x:v>
      </x:c>
      <x:c r="I6" s="21" t="str">
        <x:v>异常退款、账实不符</x:v>
      </x:c>
      <x:c r="J6" s="21" t="str">
        <x:v>冻结-核对-升级</x:v>
      </x:c>
    </x:row>
    <x:row r="7" ht="54" customHeight="1">
      <x:c r="A7" s="24" t="str">
        <x:v>物</x:v>
      </x:c>
      <x:c r="B7" s="21" t="str">
        <x:v>合同档案流转与归档</x:v>
      </x:c>
      <x:c r="C7" s="21" t="str">
        <x:v>起草/审批/签署/履约/归档/续期</x:v>
      </x:c>
      <x:c r="D7" s="21" t="str">
        <x:v>合同状态、关键条款、到期、证据</x:v>
      </x:c>
      <x:c r="E7" s="21" t="str">
        <x:v>重大异常</x:v>
      </x:c>
      <x:c r="F7" s="21" t="str">
        <x:v>节点跟踪</x:v>
      </x:c>
      <x:c r="G7" s="21" t="str">
        <x:v>合同全景</x:v>
      </x:c>
      <x:c r="H7" s="21" t="str">
        <x:v>综合办/财务/业务</x:v>
      </x:c>
      <x:c r="I7" s="21" t="str">
        <x:v>越权、漏签、逾期</x:v>
      </x:c>
      <x:c r="J7" s="21" t="str">
        <x:v>补签/升级/归档</x:v>
      </x:c>
    </x:row>
    <x:row r="8" ht="54" customHeight="1">
      <x:c r="A8" s="24" t="str">
        <x:v>物</x:v>
      </x:c>
      <x:c r="B8" s="21" t="str">
        <x:v>门店生命周期</x:v>
      </x:c>
      <x:c r="C8" s="21" t="str">
        <x:v>选址/开店/装修升级/续约/新签/退出</x:v>
      </x:c>
      <x:c r="D8" s="21" t="str">
        <x:v>项目预算、节点、店效、续约条件</x:v>
      </x:c>
      <x:c r="E8" s="21" t="str">
        <x:v>关键节点</x:v>
      </x:c>
      <x:c r="F8" s="21" t="str">
        <x:v>进度与偏差</x:v>
      </x:c>
      <x:c r="G8" s="21" t="str">
        <x:v>投资回报</x:v>
      </x:c>
      <x:c r="H8" s="21" t="str">
        <x:v>APR/项目负责人</x:v>
      </x:c>
      <x:c r="I8" s="21" t="str">
        <x:v>延期、超支、证照</x:v>
      </x:c>
      <x:c r="J8" s="21" t="str">
        <x:v>决策/整改/验收</x:v>
      </x:c>
    </x:row>
    <x:row r="9" ht="54" customHeight="1">
      <x:c r="A9" s="24" t="str">
        <x:v>物</x:v>
      </x:c>
      <x:c r="B9" s="21" t="str">
        <x:v>库存与返利管理</x:v>
      </x:c>
      <x:c r="C9" s="21" t="str">
        <x:v>周转/量级/物料/返利预计确认到账</x:v>
      </x:c>
      <x:c r="D9" s="21" t="str">
        <x:v>库存、90天+/180天+、返利、条件、到账</x:v>
      </x:c>
      <x:c r="E9" s="21" t="str">
        <x:v>风险SKU/逾期</x:v>
      </x:c>
      <x:c r="F9" s="21" t="str">
        <x:v>消化与确认</x:v>
      </x:c>
      <x:c r="G9" s="21" t="str">
        <x:v>减值/利润质量</x:v>
      </x:c>
      <x:c r="H9" s="21" t="str">
        <x:v>采销/财务</x:v>
      </x:c>
      <x:c r="I9" s="21" t="str">
        <x:v>超龄、缺货、返利落空</x:v>
      </x:c>
      <x:c r="J9" s="21" t="str">
        <x:v>采购/清库/催收</x:v>
      </x:c>
    </x:row>
    <x:row r="10" ht="54" customHeight="1">
      <x:c r="A10" s="27" t="str">
        <x:v>人</x:v>
      </x:c>
      <x:c r="B10" s="21" t="str">
        <x:v>人员规划与缺编</x:v>
      </x:c>
      <x:c r="C10" s="21" t="str">
        <x:v>门店员工→店长→总部岗位</x:v>
      </x:c>
      <x:c r="D10" s="21" t="str">
        <x:v>编制、在岗、缺编、关键岗位保障</x:v>
      </x:c>
      <x:c r="E10" s="21" t="str">
        <x:v>经营影响异常</x:v>
      </x:c>
      <x:c r="F10" s="21" t="str">
        <x:v>缺口趋势</x:v>
      </x:c>
      <x:c r="G10" s="21" t="str">
        <x:v>组织配置</x:v>
      </x:c>
      <x:c r="H10" s="21" t="str">
        <x:v>人事/业务负责人</x:v>
      </x:c>
      <x:c r="I10" s="21" t="str">
        <x:v>关键岗位空缺</x:v>
      </x:c>
      <x:c r="J10" s="21" t="str">
        <x:v>招聘/临时替补</x:v>
      </x:c>
    </x:row>
    <x:row r="11" ht="54" customHeight="1">
      <x:c r="A11" s="27" t="str">
        <x:v>人</x:v>
      </x:c>
      <x:c r="B11" s="21" t="str">
        <x:v>能力与岗位匹配</x:v>
      </x:c>
      <x:c r="C11" s="21" t="str">
        <x:v>定位/胜任/组合搭配/调整</x:v>
      </x:c>
      <x:c r="D11" s="21" t="str">
        <x:v>胜任度、绩效、关键能力、后备</x:v>
      </x:c>
      <x:c r="E11" s="21" t="str">
        <x:v>重大错配</x:v>
      </x:c>
      <x:c r="F11" s="21" t="str">
        <x:v>人员诊断</x:v>
      </x:c>
      <x:c r="G11" s="21" t="str">
        <x:v>人才盘点</x:v>
      </x:c>
      <x:c r="H11" s="21" t="str">
        <x:v>人事/业务负责人</x:v>
      </x:c>
      <x:c r="I11" s="21" t="str">
        <x:v>能力不匹配</x:v>
      </x:c>
      <x:c r="J11" s="21" t="str">
        <x:v>调岗/辅导/替换</x:v>
      </x:c>
    </x:row>
    <x:row r="12" ht="54" customHeight="1">
      <x:c r="A12" s="27" t="str">
        <x:v>人</x:v>
      </x:c>
      <x:c r="B12" s="21" t="str">
        <x:v>人效与人均毛利</x:v>
      </x:c>
      <x:c r="C12" s="21" t="str">
        <x:v>销售/毛利/人数/工时统一口径</x:v>
      </x:c>
      <x:c r="D12" s="21" t="str">
        <x:v>人均销售、人均毛利、人工成本率、同岗差距</x:v>
      </x:c>
      <x:c r="E12" s="21" t="str">
        <x:v>极端异常</x:v>
      </x:c>
      <x:c r="F12" s="21" t="str">
        <x:v>趋势/排名</x:v>
      </x:c>
      <x:c r="G12" s="21" t="str">
        <x:v>组织效能</x:v>
      </x:c>
      <x:c r="H12" s="21" t="str">
        <x:v>人事/财务/业务</x:v>
      </x:c>
      <x:c r="I12" s="21" t="str">
        <x:v>低效持续</x:v>
      </x:c>
      <x:c r="J12" s="21" t="str">
        <x:v>激励/培训/调整</x:v>
      </x:c>
    </x:row>
    <x:row r="13" ht="54" customHeight="1">
      <x:c r="A13" s="27" t="str">
        <x:v>人</x:v>
      </x:c>
      <x:c r="B13" s="21" t="str">
        <x:v>招聘→培训→升级→竞赛</x:v>
      </x:c>
      <x:c r="C13" s="21" t="str">
        <x:v>新人培养与老员工升级</x:v>
      </x:c>
      <x:c r="D13" s="21" t="str">
        <x:v>招聘质量、培训/认证、技能提升、竞赛结果</x:v>
      </x:c>
      <x:c r="E13" s="21" t="str">
        <x:v>关键逾期</x:v>
      </x:c>
      <x:c r="F13" s="21" t="str">
        <x:v>完成与效果</x:v>
      </x:c>
      <x:c r="G13" s="21" t="str">
        <x:v>能力复盘</x:v>
      </x:c>
      <x:c r="H13" s="21" t="str">
        <x:v>人事/业务</x:v>
      </x:c>
      <x:c r="I13" s="21" t="str">
        <x:v>培养失败/认证过期</x:v>
      </x:c>
      <x:c r="J13" s="21" t="str">
        <x:v>补训/调整</x:v>
      </x:c>
    </x:row>
    <x:row r="14" ht="54" customHeight="1">
      <x:c r="A14" s="58" t="str">
        <x:v>外部</x:v>
      </x:c>
      <x:c r="B14" s="21" t="str">
        <x:v>供应商资源整合</x:v>
      </x:c>
      <x:c r="C14" s="21" t="str">
        <x:v>苹果/总代/品牌资源沟通</x:v>
      </x:c>
      <x:c r="D14" s="21" t="str">
        <x:v>分货承诺、交付、政策、返利、资源</x:v>
      </x:c>
      <x:c r="E14" s="21" t="str">
        <x:v>供应异常</x:v>
      </x:c>
      <x:c r="F14" s="21" t="str">
        <x:v>承诺兑现</x:v>
      </x:c>
      <x:c r="G14" s="21" t="str">
        <x:v>依赖与谈判</x:v>
      </x:c>
      <x:c r="H14" s="21" t="str">
        <x:v>采销/业务</x:v>
      </x:c>
      <x:c r="I14" s="21" t="str">
        <x:v>断供、政策变化</x:v>
      </x:c>
      <x:c r="J14" s="21" t="str">
        <x:v>备选/谈判/备货</x:v>
      </x:c>
    </x:row>
    <x:row r="15" ht="54" customHeight="1">
      <x:c r="A15" s="58" t="str">
        <x:v>外部</x:v>
      </x:c>
      <x:c r="B15" s="21" t="str">
        <x:v>客户单位与业务关系</x:v>
      </x:c>
      <x:c r="C15" s="21" t="str">
        <x:v>重点客户/项目/回款/续约</x:v>
      </x:c>
      <x:c r="D15" s="21" t="str">
        <x:v>销售、毛利、合同、应收、信用、项目节点</x:v>
      </x:c>
      <x:c r="E15" s="21" t="str">
        <x:v>重大客户异常</x:v>
      </x:c>
      <x:c r="F15" s="21" t="str">
        <x:v>客户进展</x:v>
      </x:c>
      <x:c r="G15" s="21" t="str">
        <x:v>集中度/信用</x:v>
      </x:c>
      <x:c r="H15" s="21" t="str">
        <x:v>3PP/业务/财务</x:v>
      </x:c>
      <x:c r="I15" s="21" t="str">
        <x:v>逾期、流失、争议</x:v>
      </x:c>
      <x:c r="J15" s="21" t="str">
        <x:v>催收/维护/升级</x:v>
      </x:c>
    </x:row>
    <x:row r="16" ht="54" customHeight="1">
      <x:c r="A16" s="58" t="str">
        <x:v>外部</x:v>
      </x:c>
      <x:c r="B16" s="21" t="str">
        <x:v>外围营商环境</x:v>
      </x:c>
      <x:c r="C16" s="21" t="str">
        <x:v>市场/商圈/竞品/政策</x:v>
      </x:c>
      <x:c r="D16" s="21" t="str">
        <x:v>竞品价格、客流、商圈变化、政策事件</x:v>
      </x:c>
      <x:c r="E16" s="21" t="str">
        <x:v>事件触发</x:v>
      </x:c>
      <x:c r="F16" s="21" t="str">
        <x:v>变化判断</x:v>
      </x:c>
      <x:c r="G16" s="21" t="str">
        <x:v>策略复盘</x:v>
      </x:c>
      <x:c r="H16" s="21" t="str">
        <x:v>业务/内容营销</x:v>
      </x:c>
      <x:c r="I16" s="21" t="str">
        <x:v>政策/竞争突变</x:v>
      </x:c>
      <x:c r="J16" s="21" t="str">
        <x:v>调价/活动/选址</x:v>
      </x:c>
    </x:row>
    <x:row r="17" ht="54" customHeight="1">
      <x:c r="A17" s="42" t="str">
        <x:v>合规</x:v>
      </x:c>
      <x:c r="B17" s="21" t="str">
        <x:v>考勤与制度执行</x:v>
      </x:c>
      <x:c r="C17" s="21" t="str">
        <x:v>基础制度/排班/异常留痕</x:v>
      </x:c>
      <x:c r="D17" s="21" t="str">
        <x:v>严重缺勤、制度违反、劳动合规</x:v>
      </x:c>
      <x:c r="E17" s="21" t="str">
        <x:v>影响经营例外</x:v>
      </x:c>
      <x:c r="F17" s="21" t="str">
        <x:v>异常趋势</x:v>
      </x:c>
      <x:c r="G17" s="21" t="str">
        <x:v>制度评价</x:v>
      </x:c>
      <x:c r="H17" s="21" t="str">
        <x:v>人事/综合办</x:v>
      </x:c>
      <x:c r="I17" s="21" t="str">
        <x:v>经营中断/劳动风险</x:v>
      </x:c>
      <x:c r="J17" s="21" t="str">
        <x:v>替补/处理/修订</x:v>
      </x:c>
    </x:row>
    <x:row r="18" ht="54" customHeight="1">
      <x:c r="A18" s="42" t="str">
        <x:v>合规</x:v>
      </x:c>
      <x:c r="B18" s="21" t="str">
        <x:v>经营纪律与证据</x:v>
      </x:c>
      <x:c r="C18" s="21" t="str">
        <x:v>价格/合同/采购/付款/盘点/权限</x:v>
      </x:c>
      <x:c r="D18" s="21" t="str">
        <x:v>负毛利、低价、越权、盘点差异、审批证据</x:v>
      </x:c>
      <x:c r="E18" s="21" t="str">
        <x:v>事件触发</x:v>
      </x:c>
      <x:c r="F18" s="21" t="str">
        <x:v>异常清单</x:v>
      </x:c>
      <x:c r="G18" s="21" t="str">
        <x:v>内控复盘</x:v>
      </x:c>
      <x:c r="H18" s="21" t="str">
        <x:v>财务/综合办/业务</x:v>
      </x:c>
      <x:c r="I18" s="21" t="str">
        <x:v>越权、舞弊、重大差异</x:v>
      </x:c>
      <x:c r="J18" s="21" t="str">
        <x:v>整改/问责/审计</x:v>
      </x:c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8" hidden="0" customWidth="1"/>
    <x:col min="4" max="4" width="35" hidden="0" customWidth="1"/>
    <x:col min="5" max="5" width="55" hidden="0" customWidth="1"/>
    <x:col min="6" max="6" width="23" hidden="0" customWidth="1"/>
    <x:col min="7" max="7" width="27" hidden="0" customWidth="1"/>
    <x:col min="8" max="8" width="28" hidden="0" customWidth="1"/>
    <x:col min="9" max="9" width="25" hidden="0" customWidth="1"/>
    <x:col min="10" max="10" width="34" hidden="0" customWidth="1"/>
    <x:col min="11" max="11" width="25" hidden="0" customWidth="1"/>
  </x:cols>
  <x:sheetData>
    <x:row r="1" ht="34" customHeight="1">
      <x:c r="A1" s="6" t="str">
        <x:v>重点事项优先级与闭环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9" t="str">
        <x:v>会议优先级不埋在日报明细中，单独建立目标、节点、责任、决策和验证链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28" customHeight="1">
      <x:c r="A3" s="55" t="str">
        <x:v>重点事项统一进入台账：原截止日不得覆盖，未完成滚入下周，已完成必须有结果证据。</x:v>
      </x:c>
      <x:c r="B3" s="55"/>
      <x:c r="C3" s="55"/>
      <x:c r="D3" s="55"/>
      <x:c r="E3" s="55"/>
      <x:c r="F3" s="55"/>
      <x:c r="G3" s="55"/>
      <x:c r="H3" s="55"/>
      <x:c r="I3" s="55"/>
      <x:c r="J3" s="55"/>
      <x:c r="K3" s="55"/>
    </x:row>
    <x:row r="4" ht="30" customHeight="1">
      <x:c r="A4" s="18" t="str">
        <x:v>ID</x:v>
      </x:c>
      <x:c r="B4" s="18" t="str">
        <x:v>层级</x:v>
      </x:c>
      <x:c r="C4" s="18" t="str">
        <x:v>重点事项</x:v>
      </x:c>
      <x:c r="D4" s="18" t="str">
        <x:v>战略意图</x:v>
      </x:c>
      <x:c r="E4" s="18" t="str">
        <x:v>衡量标准</x:v>
      </x:c>
      <x:c r="F4" s="18" t="str">
        <x:v>日报</x:v>
      </x:c>
      <x:c r="G4" s="18" t="str">
        <x:v>周报</x:v>
      </x:c>
      <x:c r="H4" s="18" t="str">
        <x:v>月报</x:v>
      </x:c>
      <x:c r="I4" s="18" t="str">
        <x:v>第一责任</x:v>
      </x:c>
      <x:c r="J4" s="18" t="str">
        <x:v>需老板决策</x:v>
      </x:c>
      <x:c r="K4" s="18" t="str">
        <x:v>关闭证据</x:v>
      </x:c>
    </x:row>
    <x:row r="5" ht="70" customHeight="1">
      <x:c r="A5" s="30" t="str">
        <x:v>P1</x:v>
      </x:c>
      <x:c r="B5" s="30" t="str">
        <x:v>第一优先级</x:v>
      </x:c>
      <x:c r="C5" s="21" t="str">
        <x:v>开优质门店</x:v>
      </x:c>
      <x:c r="D5" s="21" t="str">
        <x:v>形成可持续5-10年的线下经营单元</x:v>
      </x:c>
      <x:c r="E5" s="21" t="str">
        <x:v>一年1个=进步；单店月销100万元具备盈利基础；年销3000万元达到行业均值即优秀</x:v>
      </x:c>
      <x:c r="F5" s="21" t="str">
        <x:v>选址/谈判/筹备异常</x:v>
      </x:c>
      <x:c r="G5" s="21" t="str">
        <x:v>新增线索、项目节点、店效</x:v>
      </x:c>
      <x:c r="H5" s="21" t="str">
        <x:v>投资回报与复制模型</x:v>
      </x:c>
      <x:c r="I5" s="21" t="str">
        <x:v>APR负责人/项目负责人</x:v>
      </x:c>
      <x:c r="J5" s="21" t="str">
        <x:v>选址、投资、合同、资源授权</x:v>
      </x:c>
      <x:c r="K5" s="21" t="str">
        <x:v>开店验收+达产验证</x:v>
      </x:c>
    </x:row>
    <x:row r="6" ht="70" customHeight="1">
      <x:c r="A6" s="30" t="str">
        <x:v>P2</x:v>
      </x:c>
      <x:c r="B6" s="30" t="str">
        <x:v>第二优先级</x:v>
      </x:c>
      <x:c r="C6" s="21" t="str">
        <x:v>分货与厂商/总代资源</x:v>
      </x:c>
      <x:c r="D6" s="21" t="str">
        <x:v>保障核心产品资源与增长机会</x:v>
      </x:c>
      <x:c r="E6" s="21" t="str">
        <x:v>资源沟通、分货承诺、实际到货、重点SKU满足率、增量销售/毛利</x:v>
      </x:c>
      <x:c r="F6" s="21" t="str">
        <x:v>断货/承诺未兑现</x:v>
      </x:c>
      <x:c r="G6" s="21" t="str">
        <x:v>资源兑现与差距</x:v>
      </x:c>
      <x:c r="H6" s="21" t="str">
        <x:v>供应依赖与谈判结果</x:v>
      </x:c>
      <x:c r="I6" s="21" t="str">
        <x:v>采销/品牌负责人</x:v>
      </x:c>
      <x:c r="J6" s="21" t="str">
        <x:v>资源置换、备货、价格政策</x:v>
      </x:c>
      <x:c r="K6" s="21" t="str">
        <x:v>到货/销售/毛利结果</x:v>
      </x:c>
    </x:row>
    <x:row r="7" ht="70" customHeight="1">
      <x:c r="A7" s="30" t="str">
        <x:v>P3</x:v>
      </x:c>
      <x:c r="B7" s="30" t="str">
        <x:v>第三优先级</x:v>
      </x:c>
      <x:c r="C7" s="21" t="str">
        <x:v>人员效率与能力建设</x:v>
      </x:c>
      <x:c r="D7" s="21" t="str">
        <x:v>缩小优秀与一般员工差距</x:v>
      </x:c>
      <x:c r="E7" s="21" t="str">
        <x:v>人均销售、人均毛利、同岗差距、培训认证、优秀岗位收入提升30%-50%的会议目标</x:v>
      </x:c>
      <x:c r="F7" s="21" t="str">
        <x:v>关键岗位/严重低效</x:v>
      </x:c>
      <x:c r="G7" s="21" t="str">
        <x:v>排名、改善动作</x:v>
      </x:c>
      <x:c r="H7" s="21" t="str">
        <x:v>人才盘点与机制优化</x:v>
      </x:c>
      <x:c r="I7" s="21" t="str">
        <x:v>人事/业务负责人</x:v>
      </x:c>
      <x:c r="J7" s="21" t="str">
        <x:v>编制、激励、调整、培训预算</x:v>
      </x:c>
      <x:c r="K7" s="21" t="str">
        <x:v>绩效与能力改善</x:v>
      </x:c>
    </x:row>
    <x:row r="8" ht="70" customHeight="1">
      <x:c r="A8" s="30" t="str">
        <x:v>P4</x:v>
      </x:c>
      <x:c r="B8" s="30" t="str">
        <x:v>专项产品线</x:v>
      </x:c>
      <x:c r="C8" s="21" t="str">
        <x:v>3001设备产品线</x:v>
      </x:c>
      <x:c r="D8" s="21" t="str">
        <x:v>打通采购、销售与营销推广全链路</x:v>
      </x:c>
      <x:c r="E8" s="21" t="str">
        <x:v>周周推荐；按产品/品牌/项目跟踪销售、毛利、库存、营销与客户反馈</x:v>
      </x:c>
      <x:c r="F8" s="21" t="str">
        <x:v>重点节点/异常</x:v>
      </x:c>
      <x:c r="G8" s="21" t="str">
        <x:v>推荐与动销进展</x:v>
      </x:c>
      <x:c r="H8" s="21" t="str">
        <x:v>产品线经营复盘</x:v>
      </x:c>
      <x:c r="I8" s="21" t="str">
        <x:v>采销/业务/营销</x:v>
      </x:c>
      <x:c r="J8" s="21" t="str">
        <x:v>选品、价格、库存、投放</x:v>
      </x:c>
      <x:c r="K8" s="21" t="str">
        <x:v>销售与库存验证</x:v>
      </x:c>
    </x:row>
    <x:row r="9" ht="70" customHeight="1">
      <x:c r="A9" s="30" t="str">
        <x:v>P5</x:v>
      </x:c>
      <x:c r="B9" s="30" t="str">
        <x:v>运行闭环</x:v>
      </x:c>
      <x:c r="C9" s="21" t="str">
        <x:v>重点事项台账</x:v>
      </x:c>
      <x:c r="D9" s="21" t="str">
        <x:v>让会议决定和老板交办可追溯</x:v>
      </x:c>
      <x:c r="E9" s="21" t="str">
        <x:v>唯一ID、实际进度、时间进度、原截止日、下一节点、责任人、验证证据</x:v>
      </x:c>
      <x:c r="F9" s="21" t="str">
        <x:v>到期/落后/逾期</x:v>
      </x:c>
      <x:c r="G9" s="21" t="str">
        <x:v>完成率与滚动</x:v>
      </x:c>
      <x:c r="H9" s="21" t="str">
        <x:v>承诺兑现率</x:v>
      </x:c>
      <x:c r="I9" s="21" t="str">
        <x:v>事项责任人/总经办</x:v>
      </x:c>
      <x:c r="J9" s="21" t="str">
        <x:v>跨部门资源与优先级</x:v>
      </x:c>
      <x:c r="K9" s="21" t="str">
        <x:v>结果证据</x:v>
      </x:c>
    </x:row>
    <x:row r="10" ht="70" customHeight="1">
      <x:c r="A10" s="30" t="str">
        <x:v>P6</x:v>
      </x:c>
      <x:c r="B10" s="30" t="str">
        <x:v>决策闭环</x:v>
      </x:c>
      <x:c r="C10" s="21" t="str">
        <x:v>老板批复→执行→验证</x:v>
      </x:c>
      <x:c r="D10" s="21" t="str">
        <x:v>让批复形成经营结果</x:v>
      </x:c>
      <x:c r="E10" s="21" t="str">
        <x:v>关联事项ID、接收确认、执行动作、完成时间、结果验证、关闭日期</x:v>
      </x:c>
      <x:c r="F10" s="21" t="str">
        <x:v>未确认/逾期</x:v>
      </x:c>
      <x:c r="G10" s="21" t="str">
        <x:v>批复执行清单</x:v>
      </x:c>
      <x:c r="H10" s="21" t="str">
        <x:v>决策有效性复盘</x:v>
      </x:c>
      <x:c r="I10" s="21" t="str">
        <x:v>总经办/事项责任人</x:v>
      </x:c>
      <x:c r="J10" s="21" t="str">
        <x:v>方案A/B、建议结论、最晚批复</x:v>
      </x:c>
      <x:c r="K10" s="21" t="str">
        <x:v>验证后关闭</x:v>
      </x:c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7" hidden="0" customWidth="1"/>
    <x:col min="4" max="4" width="35" hidden="0" customWidth="1"/>
    <x:col min="5" max="5" width="39" hidden="0" customWidth="1"/>
    <x:col min="6" max="6" width="42" hidden="0" customWidth="1"/>
    <x:col min="7" max="7" width="21" hidden="0" customWidth="1"/>
    <x:col min="8" max="8" width="21" hidden="0" customWidth="1"/>
    <x:col min="9" max="9" width="16" hidden="0" customWidth="1"/>
    <x:col min="10" max="10" width="29" hidden="0" customWidth="1"/>
  </x:cols>
  <x:sheetData>
    <x:row r="1" ht="34" customHeight="1">
      <x:c r="A1" s="6" t="str">
        <x:v>经营预警、升级与老板决策规则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4" customHeight="1">
      <x:c r="A2" s="9" t="str">
        <x:v>将“异常”变成统一的红黄规则、责任动作和升级路径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8" customHeight="1">
      <x:c r="A3" s="61" t="str">
        <x:v>表中数值为建议阈值。老板批准后固化为公司规则；重大客诉、平台处罚、资金安全和越权事项不受金额阈值限制，事件触发即上报。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 ht="30" customHeight="1">
      <x:c r="A4" s="18" t="str">
        <x:v>规则ID</x:v>
      </x:c>
      <x:c r="B4" s="18" t="str">
        <x:v>风险类型</x:v>
      </x:c>
      <x:c r="C4" s="18" t="str">
        <x:v>指标/事件</x:v>
      </x:c>
      <x:c r="D4" s="18" t="str">
        <x:v>黄色关注</x:v>
      </x:c>
      <x:c r="E4" s="18" t="str">
        <x:v>红色预警</x:v>
      </x:c>
      <x:c r="F4" s="18" t="str">
        <x:v>责任人必须采取的动作</x:v>
      </x:c>
      <x:c r="G4" s="18" t="str">
        <x:v>升级对象</x:v>
      </x:c>
      <x:c r="H4" s="18" t="str">
        <x:v>责任端口</x:v>
      </x:c>
      <x:c r="I4" s="18" t="str">
        <x:v>频率</x:v>
      </x:c>
      <x:c r="J4" s="18" t="str">
        <x:v>控制说明</x:v>
      </x:c>
    </x:row>
    <x:row r="5" ht="58" customHeight="1">
      <x:c r="A5" s="21" t="str">
        <x:v>R01</x:v>
      </x:c>
      <x:c r="B5" s="21" t="str">
        <x:v>经营</x:v>
      </x:c>
      <x:c r="C5" s="21" t="str">
        <x:v>目标进度偏差</x:v>
      </x:c>
      <x:c r="D5" s="21" t="str">
        <x:v>达成率落后时间进度5-10个百分点</x:v>
      </x:c>
      <x:c r="E5" s="21" t="str">
        <x:v>落后超过10个百分点或月末预测低于目标10%</x:v>
      </x:c>
      <x:c r="F5" s="21" t="str">
        <x:v>提交差额、原因和追赶动作</x:v>
      </x:c>
      <x:c r="G5" s="21" t="str">
        <x:v>日报首页/周会</x:v>
      </x:c>
      <x:c r="H5" s="21" t="str">
        <x:v>业务负责人</x:v>
      </x:c>
      <x:c r="I5" s="21" t="str">
        <x:v>日/周</x:v>
      </x:c>
      <x:c r="J5" s="21" t="str">
        <x:v>建议阈值，运行前批准</x:v>
      </x:c>
    </x:row>
    <x:row r="6" ht="58" customHeight="1">
      <x:c r="A6" s="21" t="str">
        <x:v>R02</x:v>
      </x:c>
      <x:c r="B6" s="21" t="str">
        <x:v>经营</x:v>
      </x:c>
      <x:c r="C6" s="21" t="str">
        <x:v>销售异常下滑</x:v>
      </x:c>
      <x:c r="D6" s="21" t="str">
        <x:v>较上周同日下降10%-20%</x:v>
      </x:c>
      <x:c r="E6" s="21" t="str">
        <x:v>下降超过20%且非活动/节假日口径原因</x:v>
      </x:c>
      <x:c r="F6" s="21" t="str">
        <x:v>拆解客流/UV、转化、客单和缺货</x:v>
      </x:c>
      <x:c r="G6" s="21" t="str">
        <x:v>经营负责人</x:v>
      </x:c>
      <x:c r="H6" s="21" t="str">
        <x:v>各板块</x:v>
      </x:c>
      <x:c r="I6" s="21" t="str">
        <x:v>日</x:v>
      </x:c>
      <x:c r="J6" s="21" t="str">
        <x:v>与预算和季节性共同判断</x:v>
      </x:c>
    </x:row>
    <x:row r="7" ht="58" customHeight="1">
      <x:c r="A7" s="21" t="str">
        <x:v>R03</x:v>
      </x:c>
      <x:c r="B7" s="21" t="str">
        <x:v>利润</x:v>
      </x:c>
      <x:c r="C7" s="21" t="str">
        <x:v>毛利率偏差</x:v>
      </x:c>
      <x:c r="D7" s="21" t="str">
        <x:v>低于目标1-2个百分点</x:v>
      </x:c>
      <x:c r="E7" s="21" t="str">
        <x:v>低于目标超过2个百分点或出现负毛利订单</x:v>
      </x:c>
      <x:c r="F7" s="21" t="str">
        <x:v>核查价格、成本、优惠和返利</x:v>
      </x:c>
      <x:c r="G7" s="21" t="str">
        <x:v>财务负责人/老板</x:v>
      </x:c>
      <x:c r="H7" s="21" t="str">
        <x:v>财务/业务</x:v>
      </x:c>
      <x:c r="I7" s="21" t="str">
        <x:v>日/周</x:v>
      </x:c>
      <x:c r="J7" s="21" t="str">
        <x:v>负毛利事件优先</x:v>
      </x:c>
    </x:row>
    <x:row r="8" ht="58" customHeight="1">
      <x:c r="A8" s="21" t="str">
        <x:v>R04</x:v>
      </x:c>
      <x:c r="B8" s="21" t="str">
        <x:v>费用</x:v>
      </x:c>
      <x:c r="C8" s="21" t="str">
        <x:v>贡献毛利/投放异常</x:v>
      </x:c>
      <x:c r="D8" s="21" t="str">
        <x:v>ROAS或贡献毛利低于目标</x:v>
      </x:c>
      <x:c r="E8" s="21" t="str">
        <x:v>贡献毛利为负或预算消耗显著超进度</x:v>
      </x:c>
      <x:c r="F8" s="21" t="str">
        <x:v>暂停/调整投放并复核归因</x:v>
      </x:c>
      <x:c r="G8" s="21" t="str">
        <x:v>电商负责人</x:v>
      </x:c>
      <x:c r="H8" s="21" t="str">
        <x:v>电商/财务</x:v>
      </x:c>
      <x:c r="I8" s="21" t="str">
        <x:v>日/周</x:v>
      </x:c>
      <x:c r="J8" s="21" t="str">
        <x:v>活动应看增量毛利</x:v>
      </x:c>
    </x:row>
    <x:row r="9" ht="58" customHeight="1">
      <x:c r="A9" s="21" t="str">
        <x:v>R05</x:v>
      </x:c>
      <x:c r="B9" s="21" t="str">
        <x:v>库存</x:v>
      </x:c>
      <x:c r="C9" s="21" t="str">
        <x:v>超龄库存</x:v>
      </x:c>
      <x:c r="D9" s="21" t="str">
        <x:v>90天+金额或占比超过目标</x:v>
      </x:c>
      <x:c r="E9" s="21" t="str">
        <x:v>180天+增长或预计发生重大跌价损失</x:v>
      </x:c>
      <x:c r="F9" s="21" t="str">
        <x:v>形成SKU清库、调拨、退换和减值评估</x:v>
      </x:c>
      <x:c r="G9" s="21" t="str">
        <x:v>经营会/老板</x:v>
      </x:c>
      <x:c r="H9" s="21" t="str">
        <x:v>采销/财务</x:v>
      </x:c>
      <x:c r="I9" s="21" t="str">
        <x:v>日/周/月</x:v>
      </x:c>
      <x:c r="J9" s="21" t="str">
        <x:v>金额和责任渠道并列</x:v>
      </x:c>
    </x:row>
    <x:row r="10" ht="58" customHeight="1">
      <x:c r="A10" s="21" t="str">
        <x:v>R06</x:v>
      </x:c>
      <x:c r="B10" s="21" t="str">
        <x:v>库存</x:v>
      </x:c>
      <x:c r="C10" s="21" t="str">
        <x:v>核心SKU缺货</x:v>
      </x:c>
      <x:c r="D10" s="21" t="str">
        <x:v>低于安全库存且在途可覆盖</x:v>
      </x:c>
      <x:c r="E10" s="21" t="str">
        <x:v>可售为0、影响重点活动或预计损失越线</x:v>
      </x:c>
      <x:c r="F10" s="21" t="str">
        <x:v>调拨、补货、替代销售和到货追踪</x:v>
      </x:c>
      <x:c r="G10" s="21" t="str">
        <x:v>经营负责人</x:v>
      </x:c>
      <x:c r="H10" s="21" t="str">
        <x:v>采销/业务</x:v>
      </x:c>
      <x:c r="I10" s="21" t="str">
        <x:v>实时/日</x:v>
      </x:c>
      <x:c r="J10" s="21" t="str">
        <x:v>核心SKU名单需批准</x:v>
      </x:c>
    </x:row>
    <x:row r="11" ht="58" customHeight="1">
      <x:c r="A11" s="21" t="str">
        <x:v>R07</x:v>
      </x:c>
      <x:c r="B11" s="21" t="str">
        <x:v>资金</x:v>
      </x:c>
      <x:c r="C11" s="21" t="str">
        <x:v>逾期应收</x:v>
      </x:c>
      <x:c r="D11" s="21" t="str">
        <x:v>逾期1-30天或金额超过部门阈值</x:v>
      </x:c>
      <x:c r="E11" s="21" t="str">
        <x:v>逾期超过30/60天、客户信用恶化或回款承诺失效</x:v>
      </x:c>
      <x:c r="F11" s="21" t="str">
        <x:v>催收、暂停授信/发货、升级法务或老板</x:v>
      </x:c>
      <x:c r="G11" s="21" t="str">
        <x:v>财务负责人/老板</x:v>
      </x:c>
      <x:c r="H11" s="21" t="str">
        <x:v>财务/3PP</x:v>
      </x:c>
      <x:c r="I11" s="21" t="str">
        <x:v>日/周</x:v>
      </x:c>
      <x:c r="J11" s="21" t="str">
        <x:v>阈值按客户信用政策</x:v>
      </x:c>
    </x:row>
    <x:row r="12" ht="58" customHeight="1">
      <x:c r="A12" s="21" t="str">
        <x:v>R08</x:v>
      </x:c>
      <x:c r="B12" s="21" t="str">
        <x:v>资金</x:v>
      </x:c>
      <x:c r="C12" s="21" t="str">
        <x:v>异常退款/账实差异</x:v>
      </x:c>
      <x:c r="D12" s="21" t="str">
        <x:v>单笔或当日累计超过部门阈值</x:v>
      </x:c>
      <x:c r="E12" s="21" t="str">
        <x:v>大额、重复、原因不明或不能在当日解释</x:v>
      </x:c>
      <x:c r="F12" s="21" t="str">
        <x:v>冻结相关流程、核对订单/资金/审批</x:v>
      </x:c>
      <x:c r="G12" s="21" t="str">
        <x:v>财务负责人</x:v>
      </x:c>
      <x:c r="H12" s="21" t="str">
        <x:v>财务/业务</x:v>
      </x:c>
      <x:c r="I12" s="21" t="str">
        <x:v>事件触发</x:v>
      </x:c>
      <x:c r="J12" s="21" t="str">
        <x:v>保留证据</x:v>
      </x:c>
    </x:row>
    <x:row r="13" ht="58" customHeight="1">
      <x:c r="A13" s="21" t="str">
        <x:v>R09</x:v>
      </x:c>
      <x:c r="B13" s="21" t="str">
        <x:v>客户/平台</x:v>
      </x:c>
      <x:c r="C13" s="21" t="str">
        <x:v>重大投诉、处罚或舆情</x:v>
      </x:c>
      <x:c r="D13" s="21" t="str">
        <x:v>升级投诉、连续差评或平台警告</x:v>
      </x:c>
      <x:c r="E13" s="21" t="str">
        <x:v>公开舆情、平台处罚/关停、重大品牌或资金影响</x:v>
      </x:c>
      <x:c r="F13" s="21" t="str">
        <x:v>即时上报、统一口径、明确处理人与时限</x:v>
      </x:c>
      <x:c r="G13" s="21" t="str">
        <x:v>老板</x:v>
      </x:c>
      <x:c r="H13" s="21" t="str">
        <x:v>业务/总经办</x:v>
      </x:c>
      <x:c r="I13" s="21" t="str">
        <x:v>实时</x:v>
      </x:c>
      <x:c r="J13" s="21" t="str">
        <x:v>无事件不占日报篇幅</x:v>
      </x:c>
    </x:row>
    <x:row r="14" ht="58" customHeight="1">
      <x:c r="A14" s="21" t="str">
        <x:v>R10</x:v>
      </x:c>
      <x:c r="B14" s="21" t="str">
        <x:v>执行</x:v>
      </x:c>
      <x:c r="C14" s="21" t="str">
        <x:v>重点事项进度</x:v>
      </x:c>
      <x:c r="D14" s="21" t="str">
        <x:v>实际进度落后时间进度10-20个百分点</x:v>
      </x:c>
      <x:c r="E14" s="21" t="str">
        <x:v>落后超过20个百分点或逾期</x:v>
      </x:c>
      <x:c r="F14" s="21" t="str">
        <x:v>纠偏计划、资源需求、重新承诺节点</x:v>
      </x:c>
      <x:c r="G14" s="21" t="str">
        <x:v>总经办/老板</x:v>
      </x:c>
      <x:c r="H14" s="21" t="str">
        <x:v>事项责任人</x:v>
      </x:c>
      <x:c r="I14" s="21" t="str">
        <x:v>日/周</x:v>
      </x:c>
      <x:c r="J14" s="21" t="str">
        <x:v>原计划保留</x:v>
      </x:c>
    </x:row>
    <x:row r="15" ht="58" customHeight="1">
      <x:c r="A15" s="21" t="str">
        <x:v>R11</x:v>
      </x:c>
      <x:c r="B15" s="21" t="str">
        <x:v>内控</x:v>
      </x:c>
      <x:c r="C15" s="21" t="str">
        <x:v>价格、合同、采购或付款越权</x:v>
      </x:c>
      <x:c r="D15" s="21" t="str">
        <x:v>资料不完整、审批临期或偏离标准</x:v>
      </x:c>
      <x:c r="E15" s="21" t="str">
        <x:v>未经授权执行、重大合同风险或疑似舞弊</x:v>
      </x:c>
      <x:c r="F15" s="21" t="str">
        <x:v>停止执行、补充审批、专项核查</x:v>
      </x:c>
      <x:c r="G15" s="21" t="str">
        <x:v>财务/老板</x:v>
      </x:c>
      <x:c r="H15" s="21" t="str">
        <x:v>责任部门</x:v>
      </x:c>
      <x:c r="I15" s="21" t="str">
        <x:v>事件触发</x:v>
      </x:c>
      <x:c r="J15" s="21" t="str">
        <x:v>按授权制度落地</x:v>
      </x:c>
    </x:row>
    <x:row r="16" ht="58" customHeight="1">
      <x:c r="A16" s="21" t="str">
        <x:v>R12</x:v>
      </x:c>
      <x:c r="B16" s="21" t="str">
        <x:v>组织</x:v>
      </x:c>
      <x:c r="C16" s="21" t="str">
        <x:v>关键岗位/人员风险</x:v>
      </x:c>
      <x:c r="D16" s="21" t="str">
        <x:v>关键岗位缺编或异常缺勤影响排班</x:v>
      </x:c>
      <x:c r="E16" s="21" t="str">
        <x:v>核心人员突然流失、劳动争议或经营中断风险</x:v>
      </x:c>
      <x:c r="F16" s="21" t="str">
        <x:v>替补、招聘、交接和合规处理</x:v>
      </x:c>
      <x:c r="G16" s="21" t="str">
        <x:v>分管负责人/老板</x:v>
      </x:c>
      <x:c r="H16" s="21" t="str">
        <x:v>综合办/人事</x:v>
      </x:c>
      <x:c r="I16" s="21" t="str">
        <x:v>事件触发</x:v>
      </x:c>
      <x:c r="J16" s="21" t="str">
        <x:v>普通考勤不进入首页</x:v>
      </x:c>
    </x:row>
    <x:row r="17" ht="58" customHeight="1">
      <x:c r="A17" s="21" t="str">
        <x:v>R13</x:v>
      </x:c>
      <x:c r="B17" s="21" t="str">
        <x:v>数据</x:v>
      </x:c>
      <x:c r="C17" s="21" t="str">
        <x:v>关键数据迟报/差异</x:v>
      </x:c>
      <x:c r="D17" s="21" t="str">
        <x:v>非关键字段缺失或超过截止30分钟</x:v>
      </x:c>
      <x:c r="E17" s="21" t="str">
        <x:v>关键经营/财务数据缺失、接口失败或合计不勾稽</x:v>
      </x:c>
      <x:c r="F17" s="21" t="str">
        <x:v>标暂估/待确认，指定修复人与时间</x:v>
      </x:c>
      <x:c r="G17" s="21" t="str">
        <x:v>总经办/财务</x:v>
      </x:c>
      <x:c r="H17" s="21" t="str">
        <x:v>数据责任部门</x:v>
      </x:c>
      <x:c r="I17" s="21" t="str">
        <x:v>每日</x:v>
      </x:c>
      <x:c r="J17" s="21" t="str">
        <x:v>禁止静默补数</x:v>
      </x:c>
    </x:row>
    <x:row r="18" ht="58" customHeight="1">
      <x:c r="A18" s="21" t="str">
        <x:v>R14</x:v>
      </x:c>
      <x:c r="B18" s="21" t="str">
        <x:v>决策</x:v>
      </x:c>
      <x:c r="C18" s="21" t="str">
        <x:v>老板批复未闭环</x:v>
      </x:c>
      <x:c r="D18" s="21" t="str">
        <x:v>接收未确认或节点临近</x:v>
      </x:c>
      <x:c r="E18" s="21" t="str">
        <x:v>批复执行逾期、结果未验证或问题重复发生</x:v>
      </x:c>
      <x:c r="F18" s="21" t="str">
        <x:v>自动升级并追踪验证证据</x:v>
      </x:c>
      <x:c r="G18" s="21" t="str">
        <x:v>老板/总经办</x:v>
      </x:c>
      <x:c r="H18" s="21" t="str">
        <x:v>事项责任人</x:v>
      </x:c>
      <x:c r="I18" s="21" t="str">
        <x:v>实时</x:v>
      </x:c>
      <x:c r="J18" s="21" t="str">
        <x:v>批复必须关联事项ID</x:v>
      </x:c>
    </x:row>
    <x:row r="19" ht="58" customHeight="1">
      <x:c r="A19" s="21" t="str">
        <x:v>H-R01</x:v>
      </x:c>
      <x:c r="B19" s="21" t="str">
        <x:v>资金</x:v>
      </x:c>
      <x:c r="C19" s="21" t="str">
        <x:v>异常退款/账实差异</x:v>
      </x:c>
      <x:c r="D19" s="21" t="str">
        <x:v>超阈值即核查</x:v>
      </x:c>
      <x:c r="E19" s="21" t="str">
        <x:v>重大异常或资金安全事件</x:v>
      </x:c>
      <x:c r="F19" s="21" t="str">
        <x:v>冻结-核对-升级；说明影响与剩余敞口</x:v>
      </x:c>
      <x:c r="G19" s="21" t="str">
        <x:v>财务/总经办</x:v>
      </x:c>
      <x:c r="H19" s="21" t="str">
        <x:v>财务</x:v>
      </x:c>
      <x:c r="I19" s="21" t="str">
        <x:v>事件触发</x:v>
      </x:c>
      <x:c r="J19" s="21" t="str">
        <x:v>HTML六大风控点</x:v>
      </x:c>
    </x:row>
    <x:row r="20" ht="58" customHeight="1">
      <x:c r="A20" s="21" t="str">
        <x:v>H-R02</x:v>
      </x:c>
      <x:c r="B20" s="21" t="str">
        <x:v>客户</x:v>
      </x:c>
      <x:c r="C20" s="21" t="str">
        <x:v>重大投诉/舆情/平台处罚</x:v>
      </x:c>
      <x:c r="D20" s="21" t="str">
        <x:v>重大投诉趋势</x:v>
      </x:c>
      <x:c r="E20" s="21" t="str">
        <x:v>舆情/处罚即时红色</x:v>
      </x:c>
      <x:c r="F20" s="21" t="str">
        <x:v>先报后补数据，统一对外口径</x:v>
      </x:c>
      <x:c r="G20" s="21" t="str">
        <x:v>老板/总经办</x:v>
      </x:c>
      <x:c r="H20" s="21" t="str">
        <x:v>业务负责人</x:v>
      </x:c>
      <x:c r="I20" s="21" t="str">
        <x:v>事件触发</x:v>
      </x:c>
      <x:c r="J20" s="21" t="str">
        <x:v>不受金额限制</x:v>
      </x:c>
    </x:row>
    <x:row r="21" ht="58" customHeight="1">
      <x:c r="A21" s="21" t="str">
        <x:v>H-R03</x:v>
      </x:c>
      <x:c r="B21" s="21" t="str">
        <x:v>定价</x:v>
      </x:c>
      <x:c r="C21" s="21" t="str">
        <x:v>负毛利/异常优惠/价格越权</x:v>
      </x:c>
      <x:c r="D21" s="21" t="str">
        <x:v>接近授权边界</x:v>
      </x:c>
      <x:c r="E21" s="21" t="str">
        <x:v>越权或重大毛利损失</x:v>
      </x:c>
      <x:c r="F21" s="21" t="str">
        <x:v>暂停执行、核对授权、补救</x:v>
      </x:c>
      <x:c r="G21" s="21" t="str">
        <x:v>财务/老板</x:v>
      </x:c>
      <x:c r="H21" s="21" t="str">
        <x:v>业务负责人</x:v>
      </x:c>
      <x:c r="I21" s="21" t="str">
        <x:v>实时</x:v>
      </x:c>
      <x:c r="J21" s="21" t="str">
        <x:v>证据优先</x:v>
      </x:c>
    </x:row>
    <x:row r="22" ht="58" customHeight="1">
      <x:c r="A22" s="21" t="str">
        <x:v>H-R04</x:v>
      </x:c>
      <x:c r="B22" s="21" t="str">
        <x:v>营销</x:v>
      </x:c>
      <x:c r="C22" s="21" t="str">
        <x:v>ROAS/贡献毛利异常</x:v>
      </x:c>
      <x:c r="D22" s="21" t="str">
        <x:v>连续下降或低于目标</x:v>
      </x:c>
      <x:c r="E22" s="21" t="str">
        <x:v>重大亏损或错误归因</x:v>
      </x:c>
      <x:c r="F22" s="21" t="str">
        <x:v>停调、校验归因、重定预算</x:v>
      </x:c>
      <x:c r="G22" s="21" t="str">
        <x:v>经营班子</x:v>
      </x:c>
      <x:c r="H22" s="21" t="str">
        <x:v>营销/业务</x:v>
      </x:c>
      <x:c r="I22" s="21" t="str">
        <x:v>日/周</x:v>
      </x:c>
      <x:c r="J22" s="21" t="str">
        <x:v>看增量贡献</x:v>
      </x:c>
    </x:row>
    <x:row r="23" ht="58" customHeight="1">
      <x:c r="A23" s="21" t="str">
        <x:v>H-R05</x:v>
      </x:c>
      <x:c r="B23" s="21" t="str">
        <x:v>收银结算</x:v>
      </x:c>
      <x:c r="C23" s="21" t="str">
        <x:v>收银/非单/结算异常</x:v>
      </x:c>
      <x:c r="D23" s="21" t="str">
        <x:v>差异待核</x:v>
      </x:c>
      <x:c r="E23" s="21" t="str">
        <x:v>重大账实差异/疑似舞弊</x:v>
      </x:c>
      <x:c r="F23" s="21" t="str">
        <x:v>封存证据、核查、升级</x:v>
      </x:c>
      <x:c r="G23" s="21" t="str">
        <x:v>财务/老板</x:v>
      </x:c>
      <x:c r="H23" s="21" t="str">
        <x:v>门店/财务</x:v>
      </x:c>
      <x:c r="I23" s="21" t="str">
        <x:v>实时</x:v>
      </x:c>
      <x:c r="J23" s="21" t="str">
        <x:v>会议纪要规范口径</x:v>
      </x:c>
    </x:row>
    <x:row r="24" ht="58" customHeight="1">
      <x:c r="A24" s="21" t="str">
        <x:v>H-R06</x:v>
      </x:c>
      <x:c r="B24" s="21" t="str">
        <x:v>合规</x:v>
      </x:c>
      <x:c r="C24" s="21" t="str">
        <x:v>合同/采购/付款越权</x:v>
      </x:c>
      <x:c r="D24" s="21" t="str">
        <x:v>流程偏差</x:v>
      </x:c>
      <x:c r="E24" s="21" t="str">
        <x:v>未经授权/重大合同/疑似舞弊</x:v>
      </x:c>
      <x:c r="F24" s="21" t="str">
        <x:v>停止、保全证据、专项核查</x:v>
      </x:c>
      <x:c r="G24" s="21" t="str">
        <x:v>老板/总经办</x:v>
      </x:c>
      <x:c r="H24" s="21" t="str">
        <x:v>责任部门</x:v>
      </x:c>
      <x:c r="I24" s="21" t="str">
        <x:v>实时</x:v>
      </x:c>
      <x:c r="J24" s="21" t="str">
        <x:v>事件触发</x:v>
      </x:c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31" hidden="0" customWidth="1"/>
    <x:col min="4" max="4" width="40" hidden="0" customWidth="1"/>
    <x:col min="5" max="5" width="43" hidden="0" customWidth="1"/>
    <x:col min="6" max="6" width="38" hidden="0" customWidth="1"/>
    <x:col min="7" max="7" width="35" hidden="0" customWidth="1"/>
    <x:col min="8" max="8" width="17" hidden="0" customWidth="1"/>
    <x:col min="9" max="9" width="25" hidden="0" customWidth="1"/>
    <x:col min="10" max="10" width="22" hidden="0" customWidth="1"/>
    <x:col min="11" max="11" width="31" hidden="0" customWidth="1"/>
  </x:cols>
  <x:sheetData>
    <x:row r="1" ht="34" customHeight="1">
      <x:c r="A1" s="6" t="str">
        <x:v>AI智能体体系与自动化运转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9" t="str">
        <x:v>AI是简报与经营管理的支撑层：自动完成常规工作，人工负责确认、判断、授权和最终责任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28" customHeight="1">
      <x:c r="A3" s="51" t="str">
        <x:v>HTML中的AI节点全部保留；会议纪要补充公司级智能体、岗位智能体、月度盘点和数据透明的落地路径。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</x:row>
    <x:row r="4" ht="30" customHeight="1">
      <x:c r="A4" s="18" t="str">
        <x:v>ID</x:v>
      </x:c>
      <x:c r="B4" s="18" t="str">
        <x:v>层级</x:v>
      </x:c>
      <x:c r="C4" s="18" t="str">
        <x:v>智能体/应用</x:v>
      </x:c>
      <x:c r="D4" s="18" t="str">
        <x:v>输入</x:v>
      </x:c>
      <x:c r="E4" s="18" t="str">
        <x:v>自动完成</x:v>
      </x:c>
      <x:c r="F4" s="18" t="str">
        <x:v>人工责任</x:v>
      </x:c>
      <x:c r="G4" s="18" t="str">
        <x:v>输出</x:v>
      </x:c>
      <x:c r="H4" s="18" t="str">
        <x:v>频率</x:v>
      </x:c>
      <x:c r="I4" s="18" t="str">
        <x:v>责任端口</x:v>
      </x:c>
      <x:c r="J4" s="18" t="str">
        <x:v>权限</x:v>
      </x:c>
      <x:c r="K4" s="18" t="str">
        <x:v>验收标准</x:v>
      </x:c>
    </x:row>
    <x:row r="5" ht="62" customHeight="1">
      <x:c r="A5" s="38" t="str">
        <x:v>AI01</x:v>
      </x:c>
      <x:c r="B5" s="38" t="str">
        <x:v>公司级</x:v>
      </x:c>
      <x:c r="C5" s="38" t="str">
        <x:v>经营管理智能体</x:v>
      </x:c>
      <x:c r="D5" s="21" t="str">
        <x:v>九大数据包、日周月规则、事项风险台账</x:v>
      </x:c>
      <x:c r="E5" s="21" t="str">
        <x:v>自动汇总、勾稽、识别异常、生成老板摘要</x:v>
      </x:c>
      <x:c r="F5" s="21" t="str">
        <x:v>确认口径、判断例外、承担最终责任</x:v>
      </x:c>
      <x:c r="G5" s="21" t="str">
        <x:v>日/周/月简报、风险提醒、决策清单</x:v>
      </x:c>
      <x:c r="H5" s="21" t="str">
        <x:v>日报/周报/月报</x:v>
      </x:c>
      <x:c r="I5" s="21" t="str">
        <x:v>总经办/经营班子</x:v>
      </x:c>
      <x:c r="J5" s="21" t="str">
        <x:v>按岗位权限</x:v>
      </x:c>
      <x:c r="K5" s="21" t="str">
        <x:v>输出可追溯、异常不漏报</x:v>
      </x:c>
    </x:row>
    <x:row r="6" ht="62" customHeight="1">
      <x:c r="A6" s="38" t="str">
        <x:v>AI02</x:v>
      </x:c>
      <x:c r="B6" s="38" t="str">
        <x:v>公司级</x:v>
      </x:c>
      <x:c r="C6" s="38" t="str">
        <x:v>经营数据智能体</x:v>
      </x:c>
      <x:c r="D6" s="21" t="str">
        <x:v>ERP/平台/财务/门店/项目数据</x:v>
      </x:c>
      <x:c r="E6" s="21" t="str">
        <x:v>取数、清洗、板块勾稽、目标与趋势比较</x:v>
      </x:c>
      <x:c r="F6" s="21" t="str">
        <x:v>处理接口异常和数据争议</x:v>
      </x:c>
      <x:c r="G6" s="21" t="str">
        <x:v>经营数据包与差异清单</x:v>
      </x:c>
      <x:c r="H6" s="21" t="str">
        <x:v>每日/每周</x:v>
      </x:c>
      <x:c r="I6" s="21" t="str">
        <x:v>数据责任人/财务</x:v>
      </x:c>
      <x:c r="J6" s="21" t="str">
        <x:v>敏感财务分级</x:v>
      </x:c>
      <x:c r="K6" s="21" t="str">
        <x:v>公司合计=板块合计</x:v>
      </x:c>
    </x:row>
    <x:row r="7" ht="62" customHeight="1">
      <x:c r="A7" s="38" t="str">
        <x:v>AI03</x:v>
      </x:c>
      <x:c r="B7" s="38" t="str">
        <x:v>公司级</x:v>
      </x:c>
      <x:c r="C7" s="38" t="str">
        <x:v>重点事项沟通智能体</x:v>
      </x:c>
      <x:c r="D7" s="21" t="str">
        <x:v>会议纪要、老板批复、事项台账</x:v>
      </x:c>
      <x:c r="E7" s="21" t="str">
        <x:v>提取事项、提醒节点、生成跟进消息、滚动逾期项</x:v>
      </x:c>
      <x:c r="F7" s="21" t="str">
        <x:v>确认事项归属、结果与证据</x:v>
      </x:c>
      <x:c r="G7" s="21" t="str">
        <x:v>事项台账、催办、批复闭环</x:v>
      </x:c>
      <x:c r="H7" s="21" t="str">
        <x:v>实时/每日</x:v>
      </x:c>
      <x:c r="I7" s="21" t="str">
        <x:v>总经办</x:v>
      </x:c>
      <x:c r="J7" s="21" t="str">
        <x:v>按事项权限</x:v>
      </x:c>
      <x:c r="K7" s="21" t="str">
        <x:v>ID唯一、原截止日保留</x:v>
      </x:c>
    </x:row>
    <x:row r="8" ht="62" customHeight="1">
      <x:c r="A8" s="38" t="str">
        <x:v>AI04</x:v>
      </x:c>
      <x:c r="B8" s="38" t="str">
        <x:v>岗位级</x:v>
      </x:c>
      <x:c r="C8" s="38" t="str">
        <x:v>电商运营/财务做账/人事/营销智能体</x:v>
      </x:c>
      <x:c r="D8" s="21" t="str">
        <x:v>岗位SOP、数据、制度、历史输出</x:v>
      </x:c>
      <x:c r="E8" s="21" t="str">
        <x:v>完成常规分析、草拟报告、检查遗漏</x:v>
      </x:c>
      <x:c r="F8" s="21" t="str">
        <x:v>负责业务判断与最终交付</x:v>
      </x:c>
      <x:c r="G8" s="21" t="str">
        <x:v>岗位日报/分析/任务清单</x:v>
      </x:c>
      <x:c r="H8" s="21" t="str">
        <x:v>按岗位</x:v>
      </x:c>
      <x:c r="I8" s="21" t="str">
        <x:v>各岗位负责人</x:v>
      </x:c>
      <x:c r="J8" s="21" t="str">
        <x:v>岗位隔离</x:v>
      </x:c>
      <x:c r="K8" s="21" t="str">
        <x:v>至少覆盖高频重复工作</x:v>
      </x:c>
    </x:row>
    <x:row r="9" ht="62" customHeight="1">
      <x:c r="A9" s="38" t="str">
        <x:v>AI05</x:v>
      </x:c>
      <x:c r="B9" s="38" t="str">
        <x:v>自动化</x:v>
      </x:c>
      <x:c r="C9" s="38" t="str">
        <x:v>月度账务盘点</x:v>
      </x:c>
      <x:c r="D9" s="21" t="str">
        <x:v>电子账、实物盘点计划、标准和差异</x:v>
      </x:c>
      <x:c r="E9" s="21" t="str">
        <x:v>定时安排、收集、比对、推送报告与要求</x:v>
      </x:c>
      <x:c r="F9" s="21" t="str">
        <x:v>现场盘点、异常确认、责任判定</x:v>
      </x:c>
      <x:c r="G9" s="21" t="str">
        <x:v>盘点报告与整改清单</x:v>
      </x:c>
      <x:c r="H9" s="21" t="str">
        <x:v>每月</x:v>
      </x:c>
      <x:c r="I9" s="21" t="str">
        <x:v>财务/仓储/业务</x:v>
      </x:c>
      <x:c r="J9" s="21" t="str">
        <x:v>账务与实物分权</x:v>
      </x:c>
      <x:c r="K9" s="21" t="str">
        <x:v>差异有责任和关闭证据</x:v>
      </x:c>
    </x:row>
    <x:row r="10" ht="62" customHeight="1">
      <x:c r="A10" s="38" t="str">
        <x:v>AI06</x:v>
      </x:c>
      <x:c r="B10" s="38" t="str">
        <x:v>治理</x:v>
      </x:c>
      <x:c r="C10" s="38" t="str">
        <x:v>数据透明上线</x:v>
      </x:c>
      <x:c r="D10" s="21" t="str">
        <x:v>公司经营与管理数据</x:v>
      </x:c>
      <x:c r="E10" s="21" t="str">
        <x:v>统一入口、按权限展示、记录更新时间与状态</x:v>
      </x:c>
      <x:c r="F10" s="21" t="str">
        <x:v>定义谁可看、谁可改、谁复核</x:v>
      </x:c>
      <x:c r="G10" s="21" t="str">
        <x:v>透明可追溯的数据空间</x:v>
      </x:c>
      <x:c r="H10" s="21" t="str">
        <x:v>持续</x:v>
      </x:c>
      <x:c r="I10" s="21" t="str">
        <x:v>总经办/数据责任人</x:v>
      </x:c>
      <x:c r="J10" s="21" t="str">
        <x:v>最小权限</x:v>
      </x:c>
      <x:c r="K10" s="21" t="str">
        <x:v>无静默补数、状态可见</x:v>
      </x:c>
    </x:row>
    <x:row r="11" ht="62" customHeight="1">
      <x:c r="A11" s="38" t="str">
        <x:v>AI07</x:v>
      </x:c>
      <x:c r="B11" s="38" t="str">
        <x:v>工具</x:v>
      </x:c>
      <x:c r="C11" s="38" t="str">
        <x:v>Code为核心模板 + 小龙虾补充</x:v>
      </x:c>
      <x:c r="D11" s="21" t="str">
        <x:v>逻辑推理、数据抓取、结果呈现需求</x:v>
      </x:c>
      <x:c r="E11" s="21" t="str">
        <x:v>核心推理与便捷工具互补</x:v>
      </x:c>
      <x:c r="F11" s="21" t="str">
        <x:v>选择合规场景并验证输出</x:v>
      </x:c>
      <x:c r="G11" s="21" t="str">
        <x:v>标准模板与岗位工具</x:v>
      </x:c>
      <x:c r="H11" s="21" t="str">
        <x:v>持续</x:v>
      </x:c>
      <x:c r="I11" s="21" t="str">
        <x:v>智能体责任人</x:v>
      </x:c>
      <x:c r="J11" s="21" t="str">
        <x:v>公司数据边界</x:v>
      </x:c>
      <x:c r="K11" s="21" t="str">
        <x:v>工具不替代责任</x:v>
      </x:c>
    </x:row>
    <x:row r="12" ht="62" customHeight="1">
      <x:c r="A12" s="38" t="str">
        <x:v>AI08</x:v>
      </x:c>
      <x:c r="B12" s="38" t="str">
        <x:v>落地</x:v>
      </x:c>
      <x:c r="C12" s="38" t="str">
        <x:v>一周搭建→二周使用→三周复盘</x:v>
      </x:c>
      <x:c r="D12" s="21" t="str">
        <x:v>岗位工作蒸馏、流程、数据、质量标准</x:v>
      </x:c>
      <x:c r="E12" s="21" t="str">
        <x:v>形成多个辅助机器人并持续优化</x:v>
      </x:c>
      <x:c r="F12" s="21" t="str">
        <x:v>员工只处理AI无法覆盖的判断与例外</x:v>
      </x:c>
      <x:c r="G12" s="21" t="str">
        <x:v>建设清单、使用记录、复盘改进</x:v>
      </x:c>
      <x:c r="H12" s="21" t="str">
        <x:v>三周循环</x:v>
      </x:c>
      <x:c r="I12" s="21" t="str">
        <x:v>各责任人/总经办</x:v>
      </x:c>
      <x:c r="J12" s="21" t="str">
        <x:v>平台统一管理</x:v>
      </x:c>
      <x:c r="K12" s="21" t="str">
        <x:v>实际使用率与效率改善</x:v>
      </x:c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59" hidden="0" customWidth="1"/>
    <x:col min="4" max="4" width="24" hidden="0" customWidth="1"/>
    <x:col min="5" max="5" width="28" hidden="0" customWidth="1"/>
    <x:col min="6" max="6" width="38" hidden="0" customWidth="1"/>
  </x:cols>
  <x:sheetData>
    <x:row r="1" ht="34" customHeight="1">
      <x:c r="A1" s="6" t="str">
        <x:v>汇报纪律、数据责任与运行机制</x:v>
      </x:c>
      <x:c r="B1" s="6"/>
      <x:c r="C1" s="6"/>
      <x:c r="D1" s="6"/>
      <x:c r="E1" s="6"/>
      <x:c r="F1" s="6"/>
    </x:row>
    <x:row r="2" ht="24" customHeight="1">
      <x:c r="A2" s="9" t="str">
        <x:v>将HTML的纪律与保障层转化为可执行规则</x:v>
      </x:c>
      <x:c r="B2" s="9"/>
      <x:c r="C2" s="9"/>
      <x:c r="D2" s="9"/>
      <x:c r="E2" s="9"/>
      <x:c r="F2" s="9"/>
    </x:row>
    <x:row r="3" ht="28" customHeight="1">
      <x:c r="A3" s="64" t="str">
        <x:v>核心不是表格漂亮，而是工作目标、结果、复盘、动作、责任和证据清晰。</x:v>
      </x:c>
      <x:c r="B3" s="64"/>
      <x:c r="C3" s="64"/>
      <x:c r="D3" s="64"/>
      <x:c r="E3" s="64"/>
      <x:c r="F3" s="64"/>
    </x:row>
    <x:row r="4" ht="30" customHeight="1">
      <x:c r="A4" s="18" t="str">
        <x:v>类别</x:v>
      </x:c>
      <x:c r="B4" s="18" t="str">
        <x:v>规则</x:v>
      </x:c>
      <x:c r="C4" s="18" t="str">
        <x:v>执行标准</x:v>
      </x:c>
      <x:c r="D4" s="18" t="str">
        <x:v>频率/时点</x:v>
      </x:c>
      <x:c r="E4" s="18" t="str">
        <x:v>责任</x:v>
      </x:c>
      <x:c r="F4" s="18" t="str">
        <x:v>控制结果</x:v>
      </x:c>
    </x:row>
    <x:row r="5" ht="52" customHeight="1">
      <x:c r="A5" s="42" t="str">
        <x:v>纪律</x:v>
      </x:c>
      <x:c r="B5" s="21" t="str">
        <x:v>日报/周报/月报是公司规则</x:v>
      </x:c>
      <x:c r="C5" s="21" t="str">
        <x:v>有目标、有完成率、有复盘、有计划；禁止流水账</x:v>
      </x:c>
      <x:c r="D5" s="21" t="str">
        <x:v>按规定时点呈报</x:v>
      </x:c>
      <x:c r="E5" s="21" t="str">
        <x:v>总经办/全员</x:v>
      </x:c>
      <x:c r="F5" s="21" t="str">
        <x:v>不合格退回并记录</x:v>
      </x:c>
    </x:row>
    <x:row r="6" ht="52" customHeight="1">
      <x:c r="A6" s="42" t="str">
        <x:v>纪律</x:v>
      </x:c>
      <x:c r="B6" s="21" t="str">
        <x:v>汇报质量红线</x:v>
      </x:c>
      <x:c r="C6" s="21" t="str">
        <x:v>先写给自己再写给领导；年→季→月→周→日层层清晰</x:v>
      </x:c>
      <x:c r="D6" s="21" t="str">
        <x:v>每次汇报</x:v>
      </x:c>
      <x:c r="E6" s="21" t="str">
        <x:v>各责任人</x:v>
      </x:c>
      <x:c r="F6" s="21" t="str">
        <x:v>新人容错后仍不达标按制度处理</x:v>
      </x:c>
    </x:row>
    <x:row r="7" ht="52" customHeight="1">
      <x:c r="A7" s="42" t="str">
        <x:v>逻辑</x:v>
      </x:c>
      <x:c r="B7" s="21" t="str">
        <x:v>一目了然、有主到次、分层级</x:v>
      </x:c>
      <x:c r="C7" s="21" t="str">
        <x:v>先结论后数据，先异常后明细，先影响后动作</x:v>
      </x:c>
      <x:c r="D7" s="21" t="str">
        <x:v>日/周/月</x:v>
      </x:c>
      <x:c r="E7" s="21" t="str">
        <x:v>总经办</x:v>
      </x:c>
      <x:c r="F7" s="21" t="str">
        <x:v>老板首页只留结论与异常</x:v>
      </x:c>
    </x:row>
    <x:row r="8" ht="52" customHeight="1">
      <x:c r="A8" s="42" t="str">
        <x:v>逻辑</x:v>
      </x:c>
      <x:c r="B8" s="21" t="str">
        <x:v>围绕公司重点工作线</x:v>
      </x:c>
      <x:c r="C8" s="21" t="str">
        <x:v>各岗位围绕经营结果、重点事项和风险开展工作</x:v>
      </x:c>
      <x:c r="D8" s="21" t="str">
        <x:v>持续</x:v>
      </x:c>
      <x:c r="E8" s="21" t="str">
        <x:v>各部门负责人</x:v>
      </x:c>
      <x:c r="F8" s="21" t="str">
        <x:v>偏离主线的流水事项不进主表</x:v>
      </x:c>
    </x:row>
    <x:row r="9" ht="52" customHeight="1">
      <x:c r="A9" s="42" t="str">
        <x:v>数据</x:v>
      </x:c>
      <x:c r="B9" s="21" t="str">
        <x:v>九大数据包责任</x:v>
      </x:c>
      <x:c r="C9" s="21" t="str">
        <x:v>公司销售/APR/电商/3PP/财务/营销/客服/人事/事项</x:v>
      </x:c>
      <x:c r="D9" s="21" t="str">
        <x:v>按数据包时限</x:v>
      </x:c>
      <x:c r="E9" s="21" t="str">
        <x:v>各板块责任人</x:v>
      </x:c>
      <x:c r="F9" s="21" t="str">
        <x:v>财务/总经办复核</x:v>
      </x:c>
    </x:row>
    <x:row r="10" ht="52" customHeight="1">
      <x:c r="A10" s="42" t="str">
        <x:v>数据</x:v>
      </x:c>
      <x:c r="B10" s="21" t="str">
        <x:v>状态与缺口显式</x:v>
      </x:c>
      <x:c r="C10" s="21" t="str">
        <x:v>确认/暂估/待确认/缺失；注明截止时点与修复时间</x:v>
      </x:c>
      <x:c r="D10" s="21" t="str">
        <x:v>每次汇总</x:v>
      </x:c>
      <x:c r="E10" s="21" t="str">
        <x:v>数据责任人</x:v>
      </x:c>
      <x:c r="F10" s="21" t="str">
        <x:v>禁止静默补数</x:v>
      </x:c>
    </x:row>
    <x:row r="11" ht="52" customHeight="1">
      <x:c r="A11" s="42" t="str">
        <x:v>时效</x:v>
      </x:c>
      <x:c r="B11" s="21" t="str">
        <x:v>固定呈报时间</x:v>
      </x:c>
      <x:c r="C11" s="21" t="str">
        <x:v>日报08:30、周报周一10:00、月报次月5日</x:v>
      </x:c>
      <x:c r="D11" s="21" t="str">
        <x:v>固定</x:v>
      </x:c>
      <x:c r="E11" s="21" t="str">
        <x:v>总经办</x:v>
      </x:c>
      <x:c r="F11" s="21" t="str">
        <x:v>关键数据缺失也带标识按时发布</x:v>
      </x:c>
    </x:row>
    <x:row r="12" ht="52" customHeight="1">
      <x:c r="A12" s="42" t="str">
        <x:v>权限</x:v>
      </x:c>
      <x:c r="B12" s="21" t="str">
        <x:v>数据透明但按岗授权</x:v>
      </x:c>
      <x:c r="C12" s="21" t="str">
        <x:v>该给谁看、谁可改、谁复核必须清楚</x:v>
      </x:c>
      <x:c r="D12" s="21" t="str">
        <x:v>持续</x:v>
      </x:c>
      <x:c r="E12" s="21" t="str">
        <x:v>总经办/数据责任人</x:v>
      </x:c>
      <x:c r="F12" s="21" t="str">
        <x:v>敏感数据最小权限、操作留痕</x:v>
      </x:c>
    </x:row>
    <x:row r="13">
      <x:c r="A13" s="3"/>
      <x:c r="B13" s="3"/>
      <x:c r="C13" s="3"/>
      <x:c r="D13" s="3"/>
      <x:c r="E13" s="3"/>
      <x:c r="F13" s="3"/>
    </x:row>
    <x:row r="14">
      <x:c r="A14" s="3"/>
      <x:c r="B14" s="3"/>
      <x:c r="C14" s="3"/>
      <x:c r="D14" s="3"/>
      <x:c r="E14" s="3"/>
      <x:c r="F14" s="3"/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21" hidden="0" customWidth="1"/>
    <x:col min="4" max="4" width="27" hidden="0" customWidth="1"/>
    <x:col min="5" max="5" width="48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27" hidden="0" customWidth="1"/>
    <x:col min="11" max="11" width="22" hidden="0" customWidth="1"/>
    <x:col min="12" max="12" width="31" hidden="0" customWidth="1"/>
  </x:cols>
  <x:sheetData>
    <x:row r="1" ht="34" customHeight="1">
      <x:c r="A1" s="6" t="str">
        <x:v>核心指标口径与日周月频率矩阵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24" customHeight="1">
      <x:c r="A2" s="9" t="str">
        <x:v>指标必须可计算、可追溯；日报不稳定取得的指标不得伪装成实时数据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8" customHeight="1">
      <x:c r="A3" s="51" t="str">
        <x:v>正式运行前只需由老板/财务确认含税口径、返利确认、核心SKU、预算版本和红黄阈值；其余计算关系已明确。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</x:row>
    <x:row r="4" ht="30" customHeight="1">
      <x:c r="A4" s="18" t="str">
        <x:v>指标ID</x:v>
      </x:c>
      <x:c r="B4" s="18" t="str">
        <x:v>分类</x:v>
      </x:c>
      <x:c r="C4" s="18" t="str">
        <x:v>指标</x:v>
      </x:c>
      <x:c r="D4" s="18" t="str">
        <x:v>老板用途</x:v>
      </x:c>
      <x:c r="E4" s="18" t="str">
        <x:v>定义/计算口径</x:v>
      </x:c>
      <x:c r="F4" s="18" t="str">
        <x:v>单位</x:v>
      </x:c>
      <x:c r="G4" s="18" t="str">
        <x:v>日报</x:v>
      </x:c>
      <x:c r="H4" s="18" t="str">
        <x:v>周报</x:v>
      </x:c>
      <x:c r="I4" s="18" t="str">
        <x:v>月报</x:v>
      </x:c>
      <x:c r="J4" s="18" t="str">
        <x:v>主要来源</x:v>
      </x:c>
      <x:c r="K4" s="18" t="str">
        <x:v>责任端口</x:v>
      </x:c>
      <x:c r="L4" s="18" t="str">
        <x:v>控制说明</x:v>
      </x:c>
    </x:row>
    <x:row r="5" ht="48" customHeight="1">
      <x:c r="A5" s="21" t="str">
        <x:v>F01</x:v>
      </x:c>
      <x:c r="B5" s="21" t="str">
        <x:v>经营结果</x:v>
      </x:c>
      <x:c r="C5" s="21" t="str">
        <x:v>实销收入</x:v>
      </x:c>
      <x:c r="D5" s="21" t="str">
        <x:v>看真实经营规模</x:v>
      </x:c>
      <x:c r="E5" s="21" t="str">
        <x:v>以公司确认的含税/不含税口径，扣除取消及退货冲减；GMV另列</x:v>
      </x:c>
      <x:c r="F5" s="21" t="str">
        <x:v>元</x:v>
      </x:c>
      <x:c r="G5" s="21" t="str">
        <x:v>必看</x:v>
      </x:c>
      <x:c r="H5" s="21" t="str">
        <x:v>必看</x:v>
      </x:c>
      <x:c r="I5" s="21" t="str">
        <x:v>必看</x:v>
      </x:c>
      <x:c r="J5" s="21" t="str">
        <x:v>ERP/吉客云+平台</x:v>
      </x:c>
      <x:c r="K5" s="21" t="str">
        <x:v>财务/业务</x:v>
      </x:c>
      <x:c r="L5" s="21" t="str">
        <x:v>确认/暂估标识</x:v>
      </x:c>
    </x:row>
    <x:row r="6" ht="48" customHeight="1">
      <x:c r="A6" s="21" t="str">
        <x:v>F02</x:v>
      </x:c>
      <x:c r="B6" s="21" t="str">
        <x:v>经营结果</x:v>
      </x:c>
      <x:c r="C6" s="21" t="str">
        <x:v>毛利额</x:v>
      </x:c>
      <x:c r="D6" s="21" t="str">
        <x:v>看销售质量</x:v>
      </x:c>
      <x:c r="E6" s="21" t="str">
        <x:v>实销收入－销售成本；补贴、返利是否计入须统一</x:v>
      </x:c>
      <x:c r="F6" s="21" t="str">
        <x:v>元</x:v>
      </x:c>
      <x:c r="G6" s="21" t="str">
        <x:v>必看</x:v>
      </x:c>
      <x:c r="H6" s="21" t="str">
        <x:v>必看</x:v>
      </x:c>
      <x:c r="I6" s="21" t="str">
        <x:v>必看</x:v>
      </x:c>
      <x:c r="J6" s="21" t="str">
        <x:v>ERP/财务</x:v>
      </x:c>
      <x:c r="K6" s="21" t="str">
        <x:v>财务</x:v>
      </x:c>
      <x:c r="L6" s="21" t="str">
        <x:v>日报可暂估</x:v>
      </x:c>
    </x:row>
    <x:row r="7" ht="48" customHeight="1">
      <x:c r="A7" s="21" t="str">
        <x:v>F03</x:v>
      </x:c>
      <x:c r="B7" s="21" t="str">
        <x:v>经营结果</x:v>
      </x:c>
      <x:c r="C7" s="21" t="str">
        <x:v>毛利率</x:v>
      </x:c>
      <x:c r="D7" s="21" t="str">
        <x:v>看利润质量</x:v>
      </x:c>
      <x:c r="E7" s="21" t="str">
        <x:v>毛利额÷实销收入</x:v>
      </x:c>
      <x:c r="F7" s="21" t="str">
        <x:v>%</x:v>
      </x:c>
      <x:c r="G7" s="21" t="str">
        <x:v>必看</x:v>
      </x:c>
      <x:c r="H7" s="21" t="str">
        <x:v>必看</x:v>
      </x:c>
      <x:c r="I7" s="21" t="str">
        <x:v>必看</x:v>
      </x:c>
      <x:c r="J7" s="21" t="str">
        <x:v>自动计算</x:v>
      </x:c>
      <x:c r="K7" s="21" t="str">
        <x:v>财务</x:v>
      </x:c>
      <x:c r="L7" s="21" t="str">
        <x:v>分母为0显示-</x:v>
      </x:c>
    </x:row>
    <x:row r="8" ht="48" customHeight="1">
      <x:c r="A8" s="21" t="str">
        <x:v>F04</x:v>
      </x:c>
      <x:c r="B8" s="21" t="str">
        <x:v>经营结果</x:v>
      </x:c>
      <x:c r="C8" s="21" t="str">
        <x:v>贡献毛利</x:v>
      </x:c>
      <x:c r="D8" s="21" t="str">
        <x:v>判断渠道/活动是否真正创造价值</x:v>
      </x:c>
      <x:c r="E8" s="21" t="str">
        <x:v>毛利额－可直接归属的推广、平台、优惠、物流、售后等变动费用</x:v>
      </x:c>
      <x:c r="F8" s="21" t="str">
        <x:v>元</x:v>
      </x:c>
      <x:c r="G8" s="21" t="str">
        <x:v>摘要/异常</x:v>
      </x:c>
      <x:c r="H8" s="21" t="str">
        <x:v>必看</x:v>
      </x:c>
      <x:c r="I8" s="21" t="str">
        <x:v>必看</x:v>
      </x:c>
      <x:c r="J8" s="21" t="str">
        <x:v>财务+平台</x:v>
      </x:c>
      <x:c r="K8" s="21" t="str">
        <x:v>财务/电商</x:v>
      </x:c>
      <x:c r="L8" s="21" t="str">
        <x:v>不得称净利润</x:v>
      </x:c>
    </x:row>
    <x:row r="9" ht="48" customHeight="1">
      <x:c r="A9" s="21" t="str">
        <x:v>F05</x:v>
      </x:c>
      <x:c r="B9" s="21" t="str">
        <x:v>经营结果</x:v>
      </x:c>
      <x:c r="C9" s="21" t="str">
        <x:v>费用率</x:v>
      </x:c>
      <x:c r="D9" s="21" t="str">
        <x:v>识别投入过重</x:v>
      </x:c>
      <x:c r="E9" s="21" t="str">
        <x:v>期间经营费用÷实销收入；日报仅取可归属变动费用</x:v>
      </x:c>
      <x:c r="F9" s="21" t="str">
        <x:v>%</x:v>
      </x:c>
      <x:c r="G9" s="21" t="str">
        <x:v>异常</x:v>
      </x:c>
      <x:c r="H9" s="21" t="str">
        <x:v>必看</x:v>
      </x:c>
      <x:c r="I9" s="21" t="str">
        <x:v>必看</x:v>
      </x:c>
      <x:c r="J9" s="21" t="str">
        <x:v>财务</x:v>
      </x:c>
      <x:c r="K9" s="21" t="str">
        <x:v>财务</x:v>
      </x:c>
      <x:c r="L9" s="21" t="str">
        <x:v>固定/变动分开</x:v>
      </x:c>
    </x:row>
    <x:row r="10" ht="48" customHeight="1">
      <x:c r="A10" s="21" t="str">
        <x:v>F06</x:v>
      </x:c>
      <x:c r="B10" s="21" t="str">
        <x:v>目标管理</x:v>
      </x:c>
      <x:c r="C10" s="21" t="str">
        <x:v>目标达成率</x:v>
      </x:c>
      <x:c r="D10" s="21" t="str">
        <x:v>判断是否完成计划</x:v>
      </x:c>
      <x:c r="E10" s="21" t="str">
        <x:v>期间实际÷期间目标</x:v>
      </x:c>
      <x:c r="F10" s="21" t="str">
        <x:v>%</x:v>
      </x:c>
      <x:c r="G10" s="21" t="str">
        <x:v>必看</x:v>
      </x:c>
      <x:c r="H10" s="21" t="str">
        <x:v>必看</x:v>
      </x:c>
      <x:c r="I10" s="21" t="str">
        <x:v>必看</x:v>
      </x:c>
      <x:c r="J10" s="21" t="str">
        <x:v>目标台账+ERP</x:v>
      </x:c>
      <x:c r="K10" s="21" t="str">
        <x:v>业务/财务</x:v>
      </x:c>
      <x:c r="L10" s="21" t="str">
        <x:v>目标版本锁定</x:v>
      </x:c>
    </x:row>
    <x:row r="11" ht="48" customHeight="1">
      <x:c r="A11" s="21" t="str">
        <x:v>F07</x:v>
      </x:c>
      <x:c r="B11" s="21" t="str">
        <x:v>目标管理</x:v>
      </x:c>
      <x:c r="C11" s="21" t="str">
        <x:v>时间进度</x:v>
      </x:c>
      <x:c r="D11" s="21" t="str">
        <x:v>判断目标进度偏差</x:v>
      </x:c>
      <x:c r="E11" s="21" t="str">
        <x:v>已过经营日÷当期总经营日；节假日可使用预算权重</x:v>
      </x:c>
      <x:c r="F11" s="21" t="str">
        <x:v>%</x:v>
      </x:c>
      <x:c r="G11" s="21" t="str">
        <x:v>必看</x:v>
      </x:c>
      <x:c r="H11" s="21" t="str">
        <x:v>必看</x:v>
      </x:c>
      <x:c r="I11" s="21" t="str">
        <x:v>摘要</x:v>
      </x:c>
      <x:c r="J11" s="21" t="str">
        <x:v>日历/预算</x:v>
      </x:c>
      <x:c r="K11" s="21" t="str">
        <x:v>总经办/财务</x:v>
      </x:c>
      <x:c r="L11" s="21" t="str">
        <x:v>与达成率并列</x:v>
      </x:c>
    </x:row>
    <x:row r="12" ht="48" customHeight="1">
      <x:c r="A12" s="21" t="str">
        <x:v>F08</x:v>
      </x:c>
      <x:c r="B12" s="21" t="str">
        <x:v>目标管理</x:v>
      </x:c>
      <x:c r="C12" s="21" t="str">
        <x:v>月末滚动预测</x:v>
      </x:c>
      <x:c r="D12" s="21" t="str">
        <x:v>提前判断月末能否达成</x:v>
      </x:c>
      <x:c r="E12" s="21" t="str">
        <x:v>月累计实际÷累计经营日权重×全月经营日权重</x:v>
      </x:c>
      <x:c r="F12" s="21" t="str">
        <x:v>元</x:v>
      </x:c>
      <x:c r="G12" s="21" t="str">
        <x:v>必看</x:v>
      </x:c>
      <x:c r="H12" s="21" t="str">
        <x:v>必看</x:v>
      </x:c>
      <x:c r="I12" s="21" t="str">
        <x:v>必看</x:v>
      </x:c>
      <x:c r="J12" s="21" t="str">
        <x:v>ERP+预算</x:v>
      </x:c>
      <x:c r="K12" s="21" t="str">
        <x:v>财务/业务</x:v>
      </x:c>
      <x:c r="L12" s="21" t="str">
        <x:v>标注预测版本</x:v>
      </x:c>
    </x:row>
    <x:row r="13" ht="48" customHeight="1">
      <x:c r="A13" s="21" t="str">
        <x:v>F09</x:v>
      </x:c>
      <x:c r="B13" s="21" t="str">
        <x:v>经营驱动</x:v>
      </x:c>
      <x:c r="C13" s="21" t="str">
        <x:v>客单价</x:v>
      </x:c>
      <x:c r="D13" s="21" t="str">
        <x:v>定位价格/结构变化</x:v>
      </x:c>
      <x:c r="E13" s="21" t="str">
        <x:v>实销收入÷成交订单数</x:v>
      </x:c>
      <x:c r="F13" s="21" t="str">
        <x:v>元/单</x:v>
      </x:c>
      <x:c r="G13" s="21" t="str">
        <x:v>必看</x:v>
      </x:c>
      <x:c r="H13" s="21" t="str">
        <x:v>必看</x:v>
      </x:c>
      <x:c r="I13" s="21" t="str">
        <x:v>必看</x:v>
      </x:c>
      <x:c r="J13" s="21" t="str">
        <x:v>ERP/平台</x:v>
      </x:c>
      <x:c r="K13" s="21" t="str">
        <x:v>业务</x:v>
      </x:c>
      <x:c r="L13" s="21" t="str">
        <x:v>分母为0显示-</x:v>
      </x:c>
    </x:row>
    <x:row r="14" ht="48" customHeight="1">
      <x:c r="A14" s="21" t="str">
        <x:v>F10</x:v>
      </x:c>
      <x:c r="B14" s="21" t="str">
        <x:v>经营驱动</x:v>
      </x:c>
      <x:c r="C14" s="21" t="str">
        <x:v>转化率</x:v>
      </x:c>
      <x:c r="D14" s="21" t="str">
        <x:v>定位成交效率</x:v>
      </x:c>
      <x:c r="E14" s="21" t="str">
        <x:v>成交订单÷客流（线下）或支付订单÷UV（线上）</x:v>
      </x:c>
      <x:c r="F14" s="21" t="str">
        <x:v>%</x:v>
      </x:c>
      <x:c r="G14" s="21" t="str">
        <x:v>必看</x:v>
      </x:c>
      <x:c r="H14" s="21" t="str">
        <x:v>必看</x:v>
      </x:c>
      <x:c r="I14" s="21" t="str">
        <x:v>必看</x:v>
      </x:c>
      <x:c r="J14" s="21" t="str">
        <x:v>客流/平台</x:v>
      </x:c>
      <x:c r="K14" s="21" t="str">
        <x:v>APR/电商</x:v>
      </x:c>
      <x:c r="L14" s="21" t="str">
        <x:v>线下线上不可混算</x:v>
      </x:c>
    </x:row>
    <x:row r="15" ht="48" customHeight="1">
      <x:c r="A15" s="21" t="str">
        <x:v>F11</x:v>
      </x:c>
      <x:c r="B15" s="21" t="str">
        <x:v>经营驱动</x:v>
      </x:c>
      <x:c r="C15" s="21" t="str">
        <x:v>同店增长率</x:v>
      </x:c>
      <x:c r="D15" s="21" t="str">
        <x:v>识别存量门店真实增长</x:v>
      </x:c>
      <x:c r="E15" s="21" t="str">
        <x:v>可比门店本期实销÷同期实销－1</x:v>
      </x:c>
      <x:c r="F15" s="21" t="str">
        <x:v>%</x:v>
      </x:c>
      <x:c r="G15" s="21" t="str">
        <x:v>否</x:v>
      </x:c>
      <x:c r="H15" s="21" t="str">
        <x:v>重点</x:v>
      </x:c>
      <x:c r="I15" s="21" t="str">
        <x:v>必看</x:v>
      </x:c>
      <x:c r="J15" s="21" t="str">
        <x:v>ERP+门店清单</x:v>
      </x:c>
      <x:c r="K15" s="21" t="str">
        <x:v>APR/财务</x:v>
      </x:c>
      <x:c r="L15" s="21" t="str">
        <x:v>剔除新开关店</x:v>
      </x:c>
    </x:row>
    <x:row r="16" ht="48" customHeight="1">
      <x:c r="A16" s="21" t="str">
        <x:v>F12</x:v>
      </x:c>
      <x:c r="B16" s="21" t="str">
        <x:v>经营驱动</x:v>
      </x:c>
      <x:c r="C16" s="21" t="str">
        <x:v>配件/服务连带率</x:v>
      </x:c>
      <x:c r="D16" s="21" t="str">
        <x:v>看APR利润结构</x:v>
      </x:c>
      <x:c r="E16" s="21" t="str">
        <x:v>配件件数或服务单数÷主机台数；口径分别列示</x:v>
      </x:c>
      <x:c r="F16" s="21" t="str">
        <x:v>%</x:v>
      </x:c>
      <x:c r="G16" s="21" t="str">
        <x:v>异常</x:v>
      </x:c>
      <x:c r="H16" s="21" t="str">
        <x:v>重点</x:v>
      </x:c>
      <x:c r="I16" s="21" t="str">
        <x:v>必看</x:v>
      </x:c>
      <x:c r="J16" s="21" t="str">
        <x:v>ERP/MyBusiness</x:v>
      </x:c>
      <x:c r="K16" s="21" t="str">
        <x:v>APR</x:v>
      </x:c>
      <x:c r="L16" s="21" t="str">
        <x:v>不得混为一个分子</x:v>
      </x:c>
    </x:row>
    <x:row r="17" ht="48" customHeight="1">
      <x:c r="A17" s="21" t="str">
        <x:v>M01</x:v>
      </x:c>
      <x:c r="B17" s="21" t="str">
        <x:v>营销效率</x:v>
      </x:c>
      <x:c r="C17" s="21" t="str">
        <x:v>推广ROAS</x:v>
      </x:c>
      <x:c r="D17" s="21" t="str">
        <x:v>判断广告回报</x:v>
      </x:c>
      <x:c r="E17" s="21" t="str">
        <x:v>平台归因支付销售额÷推广费</x:v>
      </x:c>
      <x:c r="F17" s="21" t="str">
        <x:v>倍</x:v>
      </x:c>
      <x:c r="G17" s="21" t="str">
        <x:v>异常/必看</x:v>
      </x:c>
      <x:c r="H17" s="21" t="str">
        <x:v>必看</x:v>
      </x:c>
      <x:c r="I17" s="21" t="str">
        <x:v>必看</x:v>
      </x:c>
      <x:c r="J17" s="21" t="str">
        <x:v>平台广告后台</x:v>
      </x:c>
      <x:c r="K17" s="21" t="str">
        <x:v>电商/内容营销</x:v>
      </x:c>
      <x:c r="L17" s="21" t="str">
        <x:v>归因窗口统一</x:v>
      </x:c>
    </x:row>
    <x:row r="18" ht="48" customHeight="1">
      <x:c r="A18" s="21" t="str">
        <x:v>M02</x:v>
      </x:c>
      <x:c r="B18" s="21" t="str">
        <x:v>营销效率</x:v>
      </x:c>
      <x:c r="C18" s="21" t="str">
        <x:v>活动增量毛利</x:v>
      </x:c>
      <x:c r="D18" s="21" t="str">
        <x:v>避免只看活动GMV</x:v>
      </x:c>
      <x:c r="E18" s="21" t="str">
        <x:v>活动增量实销×增量毛利率－活动增量费用</x:v>
      </x:c>
      <x:c r="F18" s="21" t="str">
        <x:v>元</x:v>
      </x:c>
      <x:c r="G18" s="21" t="str">
        <x:v>异常</x:v>
      </x:c>
      <x:c r="H18" s="21" t="str">
        <x:v>必看</x:v>
      </x:c>
      <x:c r="I18" s="21" t="str">
        <x:v>必看</x:v>
      </x:c>
      <x:c r="J18" s="21" t="str">
        <x:v>活动台账+财务</x:v>
      </x:c>
      <x:c r="K18" s="21" t="str">
        <x:v>活动负责人</x:v>
      </x:c>
      <x:c r="L18" s="21" t="str">
        <x:v>需设置对照基线</x:v>
      </x:c>
    </x:row>
    <x:row r="19" ht="48" customHeight="1">
      <x:c r="A19" s="21" t="str">
        <x:v>I01</x:v>
      </x:c>
      <x:c r="B19" s="21" t="str">
        <x:v>库存</x:v>
      </x:c>
      <x:c r="C19" s="21" t="str">
        <x:v>库存金额</x:v>
      </x:c>
      <x:c r="D19" s="21" t="str">
        <x:v>看资金占用</x:v>
      </x:c>
      <x:c r="E19" s="21" t="str">
        <x:v>期末可售库存成本；在途、样机、残次单列</x:v>
      </x:c>
      <x:c r="F19" s="21" t="str">
        <x:v>元</x:v>
      </x:c>
      <x:c r="G19" s="21" t="str">
        <x:v>必看</x:v>
      </x:c>
      <x:c r="H19" s="21" t="str">
        <x:v>必看</x:v>
      </x:c>
      <x:c r="I19" s="21" t="str">
        <x:v>必看</x:v>
      </x:c>
      <x:c r="J19" s="21" t="str">
        <x:v>ERP/吉客云</x:v>
      </x:c>
      <x:c r="K19" s="21" t="str">
        <x:v>采销/财务</x:v>
      </x:c>
      <x:c r="L19" s="21" t="str">
        <x:v>成本口径</x:v>
      </x:c>
    </x:row>
    <x:row r="20" ht="48" customHeight="1">
      <x:c r="A20" s="21" t="str">
        <x:v>I02</x:v>
      </x:c>
      <x:c r="B20" s="21" t="str">
        <x:v>库存</x:v>
      </x:c>
      <x:c r="C20" s="21" t="str">
        <x:v>90天+/180天+库存</x:v>
      </x:c>
      <x:c r="D20" s="21" t="str">
        <x:v>看老化与减值风险</x:v>
      </x:c>
      <x:c r="E20" s="21" t="str">
        <x:v>按统一入库批次库龄规则汇总</x:v>
      </x:c>
      <x:c r="F20" s="21" t="str">
        <x:v>元/%</x:v>
      </x:c>
      <x:c r="G20" s="21" t="str">
        <x:v>必看</x:v>
      </x:c>
      <x:c r="H20" s="21" t="str">
        <x:v>必看</x:v>
      </x:c>
      <x:c r="I20" s="21" t="str">
        <x:v>必看</x:v>
      </x:c>
      <x:c r="J20" s="21" t="str">
        <x:v>ERP/库存分析</x:v>
      </x:c>
      <x:c r="K20" s="21" t="str">
        <x:v>采销/财务</x:v>
      </x:c>
      <x:c r="L20" s="21" t="str">
        <x:v>金额与占比同时</x:v>
      </x:c>
    </x:row>
    <x:row r="21" ht="48" customHeight="1">
      <x:c r="A21" s="21" t="str">
        <x:v>I03</x:v>
      </x:c>
      <x:c r="B21" s="21" t="str">
        <x:v>库存</x:v>
      </x:c>
      <x:c r="C21" s="21" t="str">
        <x:v>库存周转天数</x:v>
      </x:c>
      <x:c r="D21" s="21" t="str">
        <x:v>看库存效率</x:v>
      </x:c>
      <x:c r="E21" s="21" t="str">
        <x:v>平均库存成本÷期间销售成本×期间天数</x:v>
      </x:c>
      <x:c r="F21" s="21" t="str">
        <x:v>天</x:v>
      </x:c>
      <x:c r="G21" s="21" t="str">
        <x:v>异常</x:v>
      </x:c>
      <x:c r="H21" s="21" t="str">
        <x:v>必看</x:v>
      </x:c>
      <x:c r="I21" s="21" t="str">
        <x:v>必看</x:v>
      </x:c>
      <x:c r="J21" s="21" t="str">
        <x:v>ERP/财务</x:v>
      </x:c>
      <x:c r="K21" s="21" t="str">
        <x:v>财务/采销</x:v>
      </x:c>
      <x:c r="L21" s="21" t="str">
        <x:v>建议滚动30/90天</x:v>
      </x:c>
    </x:row>
    <x:row r="22" ht="48" customHeight="1">
      <x:c r="A22" s="21" t="str">
        <x:v>I04</x:v>
      </x:c>
      <x:c r="B22" s="21" t="str">
        <x:v>库存</x:v>
      </x:c>
      <x:c r="C22" s="21" t="str">
        <x:v>存销比</x:v>
      </x:c>
      <x:c r="D22" s="21" t="str">
        <x:v>看库存水位</x:v>
      </x:c>
      <x:c r="E22" s="21" t="str">
        <x:v>期末库存数量或金额÷近4周平均周销量/销售成本</x:v>
      </x:c>
      <x:c r="F22" s="21" t="str">
        <x:v>周/月</x:v>
      </x:c>
      <x:c r="G22" s="21" t="str">
        <x:v>异常</x:v>
      </x:c>
      <x:c r="H22" s="21" t="str">
        <x:v>必看</x:v>
      </x:c>
      <x:c r="I22" s="21" t="str">
        <x:v>必看</x:v>
      </x:c>
      <x:c r="J22" s="21" t="str">
        <x:v>ERP</x:v>
      </x:c>
      <x:c r="K22" s="21" t="str">
        <x:v>采销</x:v>
      </x:c>
      <x:c r="L22" s="21" t="str">
        <x:v>数量和金额勿混用</x:v>
      </x:c>
    </x:row>
    <x:row r="23" ht="48" customHeight="1">
      <x:c r="A23" s="21" t="str">
        <x:v>I05</x:v>
      </x:c>
      <x:c r="B23" s="21" t="str">
        <x:v>库存</x:v>
      </x:c>
      <x:c r="C23" s="21" t="str">
        <x:v>GMROI</x:v>
      </x:c>
      <x:c r="D23" s="21" t="str">
        <x:v>看库存毛利回报</x:v>
      </x:c>
      <x:c r="E23" s="21" t="str">
        <x:v>期间毛利额÷平均库存成本</x:v>
      </x:c>
      <x:c r="F23" s="21" t="str">
        <x:v>倍</x:v>
      </x:c>
      <x:c r="G23" s="21" t="str">
        <x:v>否</x:v>
      </x:c>
      <x:c r="H23" s="21" t="str">
        <x:v>参考</x:v>
      </x:c>
      <x:c r="I23" s="21" t="str">
        <x:v>必看</x:v>
      </x:c>
      <x:c r="J23" s="21" t="str">
        <x:v>ERP/财务</x:v>
      </x:c>
      <x:c r="K23" s="21" t="str">
        <x:v>财务/采销</x:v>
      </x:c>
      <x:c r="L23" s="21" t="str">
        <x:v>期间统一</x:v>
      </x:c>
    </x:row>
    <x:row r="24" ht="48" customHeight="1">
      <x:c r="A24" s="21" t="str">
        <x:v>I06</x:v>
      </x:c>
      <x:c r="B24" s="21" t="str">
        <x:v>库存</x:v>
      </x:c>
      <x:c r="C24" s="21" t="str">
        <x:v>核心SKU缺货</x:v>
      </x:c>
      <x:c r="D24" s="21" t="str">
        <x:v>看销售损失风险</x:v>
      </x:c>
      <x:c r="E24" s="21" t="str">
        <x:v>核心在售SKU可售库存为0或低于安全库存</x:v>
      </x:c>
      <x:c r="F24" s="21" t="str">
        <x:v>SKU数/影响额</x:v>
      </x:c>
      <x:c r="G24" s="21" t="str">
        <x:v>必看</x:v>
      </x:c>
      <x:c r="H24" s="21" t="str">
        <x:v>必看</x:v>
      </x:c>
      <x:c r="I24" s="21" t="str">
        <x:v>必看</x:v>
      </x:c>
      <x:c r="J24" s="21" t="str">
        <x:v>ERP/平台</x:v>
      </x:c>
      <x:c r="K24" s="21" t="str">
        <x:v>采销/业务</x:v>
      </x:c>
      <x:c r="L24" s="21" t="str">
        <x:v>附预计损失</x:v>
      </x:c>
    </x:row>
    <x:row r="25" ht="48" customHeight="1">
      <x:c r="A25" s="21" t="str">
        <x:v>C01</x:v>
      </x:c>
      <x:c r="B25" s="21" t="str">
        <x:v>资金信用</x:v>
      </x:c>
      <x:c r="C25" s="21" t="str">
        <x:v>逾期应收</x:v>
      </x:c>
      <x:c r="D25" s="21" t="str">
        <x:v>看现金回收风险</x:v>
      </x:c>
      <x:c r="E25" s="21" t="str">
        <x:v>超过合同账期且未收回的应收，按账龄分层</x:v>
      </x:c>
      <x:c r="F25" s="21" t="str">
        <x:v>元</x:v>
      </x:c>
      <x:c r="G25" s="21" t="str">
        <x:v>异常</x:v>
      </x:c>
      <x:c r="H25" s="21" t="str">
        <x:v>必看</x:v>
      </x:c>
      <x:c r="I25" s="21" t="str">
        <x:v>必看</x:v>
      </x:c>
      <x:c r="J25" s="21" t="str">
        <x:v>财务台账</x:v>
      </x:c>
      <x:c r="K25" s="21" t="str">
        <x:v>财务/3PP</x:v>
      </x:c>
      <x:c r="L25" s="21" t="str">
        <x:v>关联责任客户</x:v>
      </x:c>
    </x:row>
    <x:row r="26" ht="48" customHeight="1">
      <x:c r="A26" s="21" t="str">
        <x:v>C02</x:v>
      </x:c>
      <x:c r="B26" s="21" t="str">
        <x:v>资金信用</x:v>
      </x:c>
      <x:c r="C26" s="21" t="str">
        <x:v>回款率</x:v>
      </x:c>
      <x:c r="D26" s="21" t="str">
        <x:v>看应收执行</x:v>
      </x:c>
      <x:c r="E26" s="21" t="str">
        <x:v>期间已回款÷期间应回款</x:v>
      </x:c>
      <x:c r="F26" s="21" t="str">
        <x:v>%</x:v>
      </x:c>
      <x:c r="G26" s="21" t="str">
        <x:v>异常</x:v>
      </x:c>
      <x:c r="H26" s="21" t="str">
        <x:v>必看</x:v>
      </x:c>
      <x:c r="I26" s="21" t="str">
        <x:v>必看</x:v>
      </x:c>
      <x:c r="J26" s="21" t="str">
        <x:v>财务台账</x:v>
      </x:c>
      <x:c r="K26" s="21" t="str">
        <x:v>财务/业务</x:v>
      </x:c>
      <x:c r="L26" s="21" t="str">
        <x:v>应回款口径固定</x:v>
      </x:c>
    </x:row>
    <x:row r="27" ht="48" customHeight="1">
      <x:c r="A27" s="21" t="str">
        <x:v>C03</x:v>
      </x:c>
      <x:c r="B27" s="21" t="str">
        <x:v>资金信用</x:v>
      </x:c>
      <x:c r="C27" s="21" t="str">
        <x:v>经营现金净流量</x:v>
      </x:c>
      <x:c r="D27" s="21" t="str">
        <x:v>看利润含金量</x:v>
      </x:c>
      <x:c r="E27" s="21" t="str">
        <x:v>经营活动现金流入－经营活动现金流出</x:v>
      </x:c>
      <x:c r="F27" s="21" t="str">
        <x:v>元</x:v>
      </x:c>
      <x:c r="G27" s="21" t="str">
        <x:v>重大异常</x:v>
      </x:c>
      <x:c r="H27" s="21" t="str">
        <x:v>趋势</x:v>
      </x:c>
      <x:c r="I27" s="21" t="str">
        <x:v>必看</x:v>
      </x:c>
      <x:c r="J27" s="21" t="str">
        <x:v>银行/财务</x:v>
      </x:c>
      <x:c r="K27" s="21" t="str">
        <x:v>财务</x:v>
      </x:c>
      <x:c r="L27" s="21" t="str">
        <x:v>月报最终口径</x:v>
      </x:c>
    </x:row>
    <x:row r="28" ht="48" customHeight="1">
      <x:c r="A28" s="21" t="str">
        <x:v>C04</x:v>
      </x:c>
      <x:c r="B28" s="21" t="str">
        <x:v>资金信用</x:v>
      </x:c>
      <x:c r="C28" s="21" t="str">
        <x:v>现金转换周期</x:v>
      </x:c>
      <x:c r="D28" s="21" t="str">
        <x:v>看营运资金效率</x:v>
      </x:c>
      <x:c r="E28" s="21" t="str">
        <x:v>DIO＋DSO－DPO</x:v>
      </x:c>
      <x:c r="F28" s="21" t="str">
        <x:v>天</x:v>
      </x:c>
      <x:c r="G28" s="21" t="str">
        <x:v>否</x:v>
      </x:c>
      <x:c r="H28" s="21" t="str">
        <x:v>参考</x:v>
      </x:c>
      <x:c r="I28" s="21" t="str">
        <x:v>必看</x:v>
      </x:c>
      <x:c r="J28" s="21" t="str">
        <x:v>财务</x:v>
      </x:c>
      <x:c r="K28" s="21" t="str">
        <x:v>财务</x:v>
      </x:c>
      <x:c r="L28" s="21" t="str">
        <x:v>月度/滚动</x:v>
      </x:c>
    </x:row>
    <x:row r="29" ht="48" customHeight="1">
      <x:c r="A29" s="21" t="str">
        <x:v>C05</x:v>
      </x:c>
      <x:c r="B29" s="21" t="str">
        <x:v>资金信用</x:v>
      </x:c>
      <x:c r="C29" s="21" t="str">
        <x:v>返利实现率</x:v>
      </x:c>
      <x:c r="D29" s="21" t="str">
        <x:v>看返利兑现与利润质量</x:v>
      </x:c>
      <x:c r="E29" s="21" t="str">
        <x:v>已到账或满足确认条件金额÷预计返利金额</x:v>
      </x:c>
      <x:c r="F29" s="21" t="str">
        <x:v>%</x:v>
      </x:c>
      <x:c r="G29" s="21" t="str">
        <x:v>异常</x:v>
      </x:c>
      <x:c r="H29" s="21" t="str">
        <x:v>重点</x:v>
      </x:c>
      <x:c r="I29" s="21" t="str">
        <x:v>必看</x:v>
      </x:c>
      <x:c r="J29" s="21" t="str">
        <x:v>品牌政策/财务</x:v>
      </x:c>
      <x:c r="K29" s="21" t="str">
        <x:v>财务/采销</x:v>
      </x:c>
      <x:c r="L29" s="21" t="str">
        <x:v>预计、确认、到账分列</x:v>
      </x:c>
    </x:row>
    <x:row r="30" ht="48" customHeight="1">
      <x:c r="A30" s="21" t="str">
        <x:v>S01</x:v>
      </x:c>
      <x:c r="B30" s="21" t="str">
        <x:v>客户服务</x:v>
      </x:c>
      <x:c r="C30" s="21" t="str">
        <x:v>退货退款率</x:v>
      </x:c>
      <x:c r="D30" s="21" t="str">
        <x:v>看销售后质量</x:v>
      </x:c>
      <x:c r="E30" s="21" t="str">
        <x:v>退款实付金额÷实销收入；退货件数率另列</x:v>
      </x:c>
      <x:c r="F30" s="21" t="str">
        <x:v>%</x:v>
      </x:c>
      <x:c r="G30" s="21" t="str">
        <x:v>异常</x:v>
      </x:c>
      <x:c r="H30" s="21" t="str">
        <x:v>必看</x:v>
      </x:c>
      <x:c r="I30" s="21" t="str">
        <x:v>必看</x:v>
      </x:c>
      <x:c r="J30" s="21" t="str">
        <x:v>平台/ERP</x:v>
      </x:c>
      <x:c r="K30" s="21" t="str">
        <x:v>业务/售后</x:v>
      </x:c>
      <x:c r="L30" s="21" t="str">
        <x:v>金额率与件数率分开</x:v>
      </x:c>
    </x:row>
    <x:row r="31" ht="48" customHeight="1">
      <x:c r="A31" s="21" t="str">
        <x:v>S02</x:v>
      </x:c>
      <x:c r="B31" s="21" t="str">
        <x:v>客户服务</x:v>
      </x:c>
      <x:c r="C31" s="21" t="str">
        <x:v>重大投诉</x:v>
      </x:c>
      <x:c r="D31" s="21" t="str">
        <x:v>看品牌与资金风险</x:v>
      </x:c>
      <x:c r="E31" s="21" t="str">
        <x:v>按公司重大投诉标准确认的事件数及影响金额</x:v>
      </x:c>
      <x:c r="F31" s="21" t="str">
        <x:v>件/元</x:v>
      </x:c>
      <x:c r="G31" s="21" t="str">
        <x:v>事件触发</x:v>
      </x:c>
      <x:c r="H31" s="21" t="str">
        <x:v>复盘</x:v>
      </x:c>
      <x:c r="I31" s="21" t="str">
        <x:v>复盘</x:v>
      </x:c>
      <x:c r="J31" s="21" t="str">
        <x:v>客服/售后台账</x:v>
      </x:c>
      <x:c r="K31" s="21" t="str">
        <x:v>业务/总经办</x:v>
      </x:c>
      <x:c r="L31" s="21" t="str">
        <x:v>无则显示无</x:v>
      </x:c>
    </x:row>
    <x:row r="32" ht="48" customHeight="1">
      <x:c r="A32" s="21" t="str">
        <x:v>G01</x:v>
      </x:c>
      <x:c r="B32" s="21" t="str">
        <x:v>管理执行</x:v>
      </x:c>
      <x:c r="C32" s="21" t="str">
        <x:v>重点事项按期完成率</x:v>
      </x:c>
      <x:c r="D32" s="21" t="str">
        <x:v>看管理承诺兑现</x:v>
      </x:c>
      <x:c r="E32" s="21" t="str">
        <x:v>到期且按期完成事项÷本期应到期事项</x:v>
      </x:c>
      <x:c r="F32" s="21" t="str">
        <x:v>%</x:v>
      </x:c>
      <x:c r="G32" s="21" t="str">
        <x:v>必看</x:v>
      </x:c>
      <x:c r="H32" s="21" t="str">
        <x:v>必看</x:v>
      </x:c>
      <x:c r="I32" s="21" t="str">
        <x:v>必看</x:v>
      </x:c>
      <x:c r="J32" s="21" t="str">
        <x:v>事项台账</x:v>
      </x:c>
      <x:c r="K32" s="21" t="str">
        <x:v>总经办</x:v>
      </x:c>
      <x:c r="L32" s="21" t="str">
        <x:v>跨期不重置</x:v>
      </x:c>
    </x:row>
    <x:row r="33" ht="48" customHeight="1">
      <x:c r="A33" s="21" t="str">
        <x:v>G02</x:v>
      </x:c>
      <x:c r="B33" s="21" t="str">
        <x:v>管理执行</x:v>
      </x:c>
      <x:c r="C33" s="21" t="str">
        <x:v>进度偏差</x:v>
      </x:c>
      <x:c r="D33" s="21" t="str">
        <x:v>识别执行滞后</x:v>
      </x:c>
      <x:c r="E33" s="21" t="str">
        <x:v>实际完成进度－时间进度</x:v>
      </x:c>
      <x:c r="F33" s="21" t="str">
        <x:v>百分点</x:v>
      </x:c>
      <x:c r="G33" s="21" t="str">
        <x:v>必看</x:v>
      </x:c>
      <x:c r="H33" s="21" t="str">
        <x:v>必看</x:v>
      </x:c>
      <x:c r="I33" s="21" t="str">
        <x:v>必看</x:v>
      </x:c>
      <x:c r="J33" s="21" t="str">
        <x:v>事项台账</x:v>
      </x:c>
      <x:c r="K33" s="21" t="str">
        <x:v>责任人/总经办</x:v>
      </x:c>
      <x:c r="L33" s="21" t="str">
        <x:v>负值为落后</x:v>
      </x:c>
    </x:row>
    <x:row r="34" ht="48" customHeight="1">
      <x:c r="A34" s="21" t="str">
        <x:v>G03</x:v>
      </x:c>
      <x:c r="B34" s="21" t="str">
        <x:v>组织</x:v>
      </x:c>
      <x:c r="C34" s="21" t="str">
        <x:v>人效/人均毛利</x:v>
      </x:c>
      <x:c r="D34" s="21" t="str">
        <x:v>看组织产出</x:v>
      </x:c>
      <x:c r="E34" s="21" t="str">
        <x:v>实销收入或毛利额÷平均在岗人数</x:v>
      </x:c>
      <x:c r="F34" s="21" t="str">
        <x:v>元/人</x:v>
      </x:c>
      <x:c r="G34" s="21" t="str">
        <x:v>异常</x:v>
      </x:c>
      <x:c r="H34" s="21" t="str">
        <x:v>必看</x:v>
      </x:c>
      <x:c r="I34" s="21" t="str">
        <x:v>必看</x:v>
      </x:c>
      <x:c r="J34" s="21" t="str">
        <x:v>人事+财务</x:v>
      </x:c>
      <x:c r="K34" s="21" t="str">
        <x:v>人事/财务</x:v>
      </x:c>
      <x:c r="L34" s="21" t="str">
        <x:v>建议主用人均毛利</x:v>
      </x:c>
    </x:row>
    <x:row r="35" ht="48" customHeight="1">
      <x:c r="A35" s="21" t="str">
        <x:v>G04</x:v>
      </x:c>
      <x:c r="B35" s="21" t="str">
        <x:v>数据治理</x:v>
      </x:c>
      <x:c r="C35" s="21" t="str">
        <x:v>数据及时率</x:v>
      </x:c>
      <x:c r="D35" s="21" t="str">
        <x:v>看报送纪律</x:v>
      </x:c>
      <x:c r="E35" s="21" t="str">
        <x:v>按时提交的数据包÷应提交数据包</x:v>
      </x:c>
      <x:c r="F35" s="21" t="str">
        <x:v>%</x:v>
      </x:c>
      <x:c r="G35" s="21" t="str">
        <x:v>必看</x:v>
      </x:c>
      <x:c r="H35" s="21" t="str">
        <x:v>必看</x:v>
      </x:c>
      <x:c r="I35" s="21" t="str">
        <x:v>必看</x:v>
      </x:c>
      <x:c r="J35" s="21" t="str">
        <x:v>报送记录</x:v>
      </x:c>
      <x:c r="K35" s="21" t="str">
        <x:v>总经办</x:v>
      </x:c>
      <x:c r="L35" s="21" t="str">
        <x:v>截止时间统一</x:v>
      </x:c>
    </x:row>
    <x:row r="36" ht="48" customHeight="1">
      <x:c r="A36" s="21" t="str">
        <x:v>G05</x:v>
      </x:c>
      <x:c r="B36" s="21" t="str">
        <x:v>数据治理</x:v>
      </x:c>
      <x:c r="C36" s="21" t="str">
        <x:v>数据完整率</x:v>
      </x:c>
      <x:c r="D36" s="21" t="str">
        <x:v>看简报可信度</x:v>
      </x:c>
      <x:c r="E36" s="21" t="str">
        <x:v>已取得关键字段÷应取得关键字段</x:v>
      </x:c>
      <x:c r="F36" s="21" t="str">
        <x:v>%</x:v>
      </x:c>
      <x:c r="G36" s="21" t="str">
        <x:v>必看</x:v>
      </x:c>
      <x:c r="H36" s="21" t="str">
        <x:v>必看</x:v>
      </x:c>
      <x:c r="I36" s="21" t="str">
        <x:v>必看</x:v>
      </x:c>
      <x:c r="J36" s="21" t="str">
        <x:v>数据质量台账</x:v>
      </x:c>
      <x:c r="K36" s="21" t="str">
        <x:v>总经办/财务</x:v>
      </x:c>
      <x:c r="L36" s="21" t="str">
        <x:v>关键字段加权</x:v>
      </x:c>
    </x:row>
    <x:row r="37" ht="48" customHeight="1">
      <x:c r="A37" s="21" t="str">
        <x:v>R01</x:v>
      </x:c>
      <x:c r="B37" s="21" t="str">
        <x:v>风险</x:v>
      </x:c>
      <x:c r="C37" s="21" t="str">
        <x:v>剩余风险敞口</x:v>
      </x:c>
      <x:c r="D37" s="21" t="str">
        <x:v>看风险是否真正受控</x:v>
      </x:c>
      <x:c r="E37" s="21" t="str">
        <x:v>预计最大影响－已落实且可验证的缓释金额</x:v>
      </x:c>
      <x:c r="F37" s="21" t="str">
        <x:v>元/等级</x:v>
      </x:c>
      <x:c r="G37" s="21" t="str">
        <x:v>必看</x:v>
      </x:c>
      <x:c r="H37" s="21" t="str">
        <x:v>必看</x:v>
      </x:c>
      <x:c r="I37" s="21" t="str">
        <x:v>必看</x:v>
      </x:c>
      <x:c r="J37" s="21" t="str">
        <x:v>风险台账</x:v>
      </x:c>
      <x:c r="K37" s="21" t="str">
        <x:v>责任部门/总经办</x:v>
      </x:c>
      <x:c r="L37" s="21" t="str">
        <x:v>关闭需证据</x:v>
      </x:c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34" hidden="0" customWidth="1"/>
    <x:col min="4" max="4" width="24" hidden="0" customWidth="1"/>
    <x:col min="5" max="5" width="23" hidden="0" customWidth="1"/>
    <x:col min="6" max="6" width="23" hidden="0" customWidth="1"/>
    <x:col min="7" max="7" width="21" hidden="0" customWidth="1"/>
    <x:col min="8" max="8" width="25" hidden="0" customWidth="1"/>
    <x:col min="9" max="9" width="39" hidden="0" customWidth="1"/>
    <x:col min="10" max="10" width="36" hidden="0" customWidth="1"/>
  </x:cols>
  <x:sheetData>
    <x:row r="1" ht="34" customHeight="1">
      <x:c r="A1" s="6" t="str">
        <x:v>数据包责任、复核与呈报时效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4" customHeight="1">
      <x:c r="A2" s="9" t="str">
        <x:v>明确谁提供、谁复核、何时截止、系统异常时如何替代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8" customHeight="1">
      <x:c r="A3" s="55" t="str">
        <x:v>运行纪律：关键数据不齐时不得静默补数；应带“暂估/待确认/缺失”标识按时呈报，并同步责任人和修复时间。</x:v>
      </x:c>
      <x:c r="B3" s="55"/>
      <x:c r="C3" s="55"/>
      <x:c r="D3" s="55"/>
      <x:c r="E3" s="55"/>
      <x:c r="F3" s="55"/>
      <x:c r="G3" s="55"/>
      <x:c r="H3" s="55"/>
      <x:c r="I3" s="55"/>
      <x:c r="J3" s="55"/>
    </x:row>
    <x:row r="4" ht="30" customHeight="1">
      <x:c r="A4" s="18" t="str">
        <x:v>数据包</x:v>
      </x:c>
      <x:c r="B4" s="18" t="str">
        <x:v>业务范围</x:v>
      </x:c>
      <x:c r="C4" s="18" t="str">
        <x:v>主要来源</x:v>
      </x:c>
      <x:c r="D4" s="18" t="str">
        <x:v>第一责任</x:v>
      </x:c>
      <x:c r="E4" s="18" t="str">
        <x:v>复核责任</x:v>
      </x:c>
      <x:c r="F4" s="18" t="str">
        <x:v>日报时限</x:v>
      </x:c>
      <x:c r="G4" s="18" t="str">
        <x:v>周报时限</x:v>
      </x:c>
      <x:c r="H4" s="18" t="str">
        <x:v>月报时限</x:v>
      </x:c>
      <x:c r="I4" s="18" t="str">
        <x:v>必做校验</x:v>
      </x:c>
      <x:c r="J4" s="18" t="str">
        <x:v>异常替代/权限</x:v>
      </x:c>
    </x:row>
    <x:row r="5" ht="60" customHeight="1">
      <x:c r="A5" s="21" t="str">
        <x:v>公司销售/成本/库存</x:v>
      </x:c>
      <x:c r="B5" s="21" t="str">
        <x:v>四大经营板块及公司合计</x:v>
      </x:c>
      <x:c r="C5" s="21" t="str">
        <x:v>ERP/吉客云</x:v>
      </x:c>
      <x:c r="D5" s="21" t="str">
        <x:v>各板块数据责任人</x:v>
      </x:c>
      <x:c r="E5" s="21" t="str">
        <x:v>财务</x:v>
      </x:c>
      <x:c r="F5" s="21" t="str">
        <x:v>08:00前完成过账；08:30提交</x:v>
      </x:c>
      <x:c r="G5" s="21" t="str">
        <x:v>周一09:00前</x:v>
      </x:c>
      <x:c r="H5" s="21" t="str">
        <x:v>次月3日初稿/5日终稿</x:v>
      </x:c>
      <x:c r="I5" s="21" t="str">
        <x:v>公司合计=板块合计；退货冲减；成本异常</x:v>
      </x:c>
      <x:c r="J5" s="21" t="str">
        <x:v>系统异常时使用签字确认导出表</x:v>
      </x:c>
    </x:row>
    <x:row r="6" ht="60" customHeight="1">
      <x:c r="A6" s="21" t="str">
        <x:v>APR经营与Apple项目</x:v>
      </x:c>
      <x:c r="B6" s="21" t="str">
        <x:v>门店、客流、转化、服务项目、合规</x:v>
      </x:c>
      <x:c r="C6" s="21" t="str">
        <x:v>ERP、MyBusiness、客流系统、门店日报</x:v>
      </x:c>
      <x:c r="D6" s="21" t="str">
        <x:v>APR负责人/店长</x:v>
      </x:c>
      <x:c r="E6" s="21" t="str">
        <x:v>APR负责人+总经办</x:v>
      </x:c>
      <x:c r="F6" s="21" t="str">
        <x:v>08:30前</x:v>
      </x:c>
      <x:c r="G6" s="21" t="str">
        <x:v>周一09:00前</x:v>
      </x:c>
      <x:c r="H6" s="21" t="str">
        <x:v>次月3日前</x:v>
      </x:c>
      <x:c r="I6" s="21" t="str">
        <x:v>门店数完整；客流与订单日期一致</x:v>
      </x:c>
      <x:c r="J6" s="21" t="str">
        <x:v>未取数门店标缺失，不用估算替代</x:v>
      </x:c>
    </x:row>
    <x:row r="7" ht="60" customHeight="1">
      <x:c r="A7" s="21" t="str">
        <x:v>Apple电商</x:v>
      </x:c>
      <x:c r="B7" s="21" t="str">
        <x:v>京东羽通、苏宁啟韬</x:v>
      </x:c>
      <x:c r="C7" s="21" t="str">
        <x:v>京东/苏宁后台、ERP、财务</x:v>
      </x:c>
      <x:c r="D7" s="21" t="str">
        <x:v>Apple电商负责人</x:v>
      </x:c>
      <x:c r="E7" s="21" t="str">
        <x:v>财务</x:v>
      </x:c>
      <x:c r="F7" s="21" t="str">
        <x:v>08:30前</x:v>
      </x:c>
      <x:c r="G7" s="21" t="str">
        <x:v>周一09:00前</x:v>
      </x:c>
      <x:c r="H7" s="21" t="str">
        <x:v>次月3日前</x:v>
      </x:c>
      <x:c r="I7" s="21" t="str">
        <x:v>GMV/实销/退款/补贴/推广口径一致</x:v>
      </x:c>
      <x:c r="J7" s="21" t="str">
        <x:v>平台延迟时标暂估并注明时点</x:v>
      </x:c>
    </x:row>
    <x:row r="8" ht="60" customHeight="1">
      <x:c r="A8" s="21" t="str">
        <x:v>Shure电商</x:v>
      </x:c>
      <x:c r="B8" s="21" t="str">
        <x:v>京东官方旗舰店、天猫官方旗舰店</x:v>
      </x:c>
      <x:c r="C8" s="21" t="str">
        <x:v>京东/天猫后台、ERP、财务</x:v>
      </x:c>
      <x:c r="D8" s="21" t="str">
        <x:v>Shure电商负责人</x:v>
      </x:c>
      <x:c r="E8" s="21" t="str">
        <x:v>财务</x:v>
      </x:c>
      <x:c r="F8" s="21" t="str">
        <x:v>08:30前</x:v>
      </x:c>
      <x:c r="G8" s="21" t="str">
        <x:v>周一09:00前</x:v>
      </x:c>
      <x:c r="H8" s="21" t="str">
        <x:v>次月3日前</x:v>
      </x:c>
      <x:c r="I8" s="21" t="str">
        <x:v>渠道范围、退款、推广和SKU归属一致</x:v>
      </x:c>
      <x:c r="J8" s="21" t="str">
        <x:v>未正式经营渠道不填0冲淡指标</x:v>
      </x:c>
    </x:row>
    <x:row r="9" ht="60" customHeight="1">
      <x:c r="A9" s="21" t="str">
        <x:v>3PP/渠道分销</x:v>
      </x:c>
      <x:c r="B9" s="21" t="str">
        <x:v>客户、品牌、项目、回款、铺货</x:v>
      </x:c>
      <x:c r="C9" s="21" t="str">
        <x:v>ERP、客户/项目台账、财务</x:v>
      </x:c>
      <x:c r="D9" s="21" t="str">
        <x:v>3PP/采销负责人</x:v>
      </x:c>
      <x:c r="E9" s="21" t="str">
        <x:v>财务+总经办</x:v>
      </x:c>
      <x:c r="F9" s="21" t="str">
        <x:v>08:30前；事项实时</x:v>
      </x:c>
      <x:c r="G9" s="21" t="str">
        <x:v>周一09:00前</x:v>
      </x:c>
      <x:c r="H9" s="21" t="str">
        <x:v>次月3日前</x:v>
      </x:c>
      <x:c r="I9" s="21" t="str">
        <x:v>客户归并、应收、回款和库存勾稽</x:v>
      </x:c>
      <x:c r="J9" s="21" t="str">
        <x:v>项目台账作为临时补充并留来源</x:v>
      </x:c>
    </x:row>
    <x:row r="10" ht="60" customHeight="1">
      <x:c r="A10" s="21" t="str">
        <x:v>财务资金</x:v>
      </x:c>
      <x:c r="B10" s="21" t="str">
        <x:v>损益、费用、现金、应收应付、返利</x:v>
      </x:c>
      <x:c r="C10" s="21" t="str">
        <x:v>财务系统、银行、对账/返利台账</x:v>
      </x:c>
      <x:c r="D10" s="21" t="str">
        <x:v>财务负责人</x:v>
      </x:c>
      <x:c r="E10" s="21" t="str">
        <x:v>财务负责人</x:v>
      </x:c>
      <x:c r="F10" s="21" t="str">
        <x:v>09:00前异常摘要</x:v>
      </x:c>
      <x:c r="G10" s="21" t="str">
        <x:v>周一09:30前</x:v>
      </x:c>
      <x:c r="H10" s="21" t="str">
        <x:v>次月5日前最终</x:v>
      </x:c>
      <x:c r="I10" s="21" t="str">
        <x:v>暂估/确认分开；账实差异；返利条件</x:v>
      </x:c>
      <x:c r="J10" s="21" t="str">
        <x:v>敏感数据按授权范围呈现</x:v>
      </x:c>
    </x:row>
    <x:row r="11" ht="60" customHeight="1">
      <x:c r="A11" s="21" t="str">
        <x:v>营销/活动/内容</x:v>
      </x:c>
      <x:c r="B11" s="21" t="str">
        <x:v>推广、活动、内容矩阵</x:v>
      </x:c>
      <x:c r="C11" s="21" t="str">
        <x:v>广告后台、活动/内容台账</x:v>
      </x:c>
      <x:c r="D11" s="21" t="str">
        <x:v>内容营销/活动负责人</x:v>
      </x:c>
      <x:c r="E11" s="21" t="str">
        <x:v>电商/业务负责人</x:v>
      </x:c>
      <x:c r="F11" s="21" t="str">
        <x:v>08:30前异常</x:v>
      </x:c>
      <x:c r="G11" s="21" t="str">
        <x:v>周一09:00前</x:v>
      </x:c>
      <x:c r="H11" s="21" t="str">
        <x:v>次月3日前</x:v>
      </x:c>
      <x:c r="I11" s="21" t="str">
        <x:v>归因窗口、预算、活动基线和链接完整</x:v>
      </x:c>
      <x:c r="J11" s="21" t="str">
        <x:v>日报只报异常、爆款和重大活动</x:v>
      </x:c>
    </x:row>
    <x:row r="12" ht="60" customHeight="1">
      <x:c r="A12" s="21" t="str">
        <x:v>客户服务与履约</x:v>
      </x:c>
      <x:c r="B12" s="21" t="str">
        <x:v>客诉、退款、售后、履约</x:v>
      </x:c>
      <x:c r="C12" s="21" t="str">
        <x:v>客服/售后/物流/平台台账</x:v>
      </x:c>
      <x:c r="D12" s="21" t="str">
        <x:v>各业务负责人</x:v>
      </x:c>
      <x:c r="E12" s="21" t="str">
        <x:v>总经办</x:v>
      </x:c>
      <x:c r="F12" s="21" t="str">
        <x:v>重大事件实时；08:30汇总</x:v>
      </x:c>
      <x:c r="G12" s="21" t="str">
        <x:v>周一09:00前</x:v>
      </x:c>
      <x:c r="H12" s="21" t="str">
        <x:v>次月3日前</x:v>
      </x:c>
      <x:c r="I12" s="21" t="str">
        <x:v>重大投诉标准、重复问题、闭环证据</x:v>
      </x:c>
      <x:c r="J12" s="21" t="str">
        <x:v>重大事件先报后补数据</x:v>
      </x:c>
    </x:row>
    <x:row r="13" ht="60" customHeight="1">
      <x:c r="A13" s="21" t="str">
        <x:v>组织与人效</x:v>
      </x:c>
      <x:c r="B13" s="21" t="str">
        <x:v>编制、在岗、变动、关键岗位、培训</x:v>
      </x:c>
      <x:c r="C13" s="21" t="str">
        <x:v>人事/考勤/学习台账</x:v>
      </x:c>
      <x:c r="D13" s="21" t="str">
        <x:v>综合办/人事</x:v>
      </x:c>
      <x:c r="E13" s="21" t="str">
        <x:v>业务负责人+财务</x:v>
      </x:c>
      <x:c r="F13" s="21" t="str">
        <x:v>重大异常实时；08:30摘要</x:v>
      </x:c>
      <x:c r="G13" s="21" t="str">
        <x:v>周一09:00前</x:v>
      </x:c>
      <x:c r="H13" s="21" t="str">
        <x:v>次月3日前</x:v>
      </x:c>
      <x:c r="I13" s="21" t="str">
        <x:v>人效期间/人数口径；普通考勤不进首页</x:v>
      </x:c>
      <x:c r="J13" s="21" t="str">
        <x:v>系统未接入时人工签字台账</x:v>
      </x:c>
    </x:row>
    <x:row r="14" ht="60" customHeight="1">
      <x:c r="A14" s="21" t="str">
        <x:v>事项与风险</x:v>
      </x:c>
      <x:c r="B14" s="21" t="str">
        <x:v>老板交办、会议事项、经营风险</x:v>
      </x:c>
      <x:c r="C14" s="21" t="str">
        <x:v>统一事项/风险台账</x:v>
      </x:c>
      <x:c r="D14" s="21" t="str">
        <x:v>事项责任人</x:v>
      </x:c>
      <x:c r="E14" s="21" t="str">
        <x:v>总经办</x:v>
      </x:c>
      <x:c r="F14" s="21" t="str">
        <x:v>每日18:00前；重大风险实时</x:v>
      </x:c>
      <x:c r="G14" s="21" t="str">
        <x:v>周五18:00冻结周数据</x:v>
      </x:c>
      <x:c r="H14" s="21" t="str">
        <x:v>月末最后工作日冻结</x:v>
      </x:c>
      <x:c r="I14" s="21" t="str">
        <x:v>事项ID唯一；原截止日不覆盖；关闭有证据</x:v>
      </x:c>
      <x:c r="J14" s="21" t="str">
        <x:v>会议AI提取须人工确认</x:v>
      </x:c>
    </x:row>
    <x:row r="15" ht="60" customHeight="1">
      <x:c r="A15" s="21" t="str">
        <x:v>简报汇总发布</x:v>
      </x:c>
      <x:c r="B15" s="21" t="str">
        <x:v>日报、周报、月报主表</x:v>
      </x:c>
      <x:c r="C15" s="21" t="str">
        <x:v>以上数据包</x:v>
      </x:c>
      <x:c r="D15" s="21" t="str">
        <x:v>总经办</x:v>
      </x:c>
      <x:c r="E15" s="21" t="str">
        <x:v>财务+相关负责人</x:v>
      </x:c>
      <x:c r="F15" s="21" t="str">
        <x:v>09:00复核；09:30呈报</x:v>
      </x:c>
      <x:c r="G15" s="21" t="str">
        <x:v>周一10:00呈报</x:v>
      </x:c>
      <x:c r="H15" s="21" t="str">
        <x:v>次月5日10:00呈报</x:v>
      </x:c>
      <x:c r="I15" s="21" t="str">
        <x:v>版本、截止时点、缺失、暂估、勾稽检查</x:v>
      </x:c>
      <x:c r="J15" s="21" t="str">
        <x:v>关键数据不齐时带缺口发布，不延误且不隐瞒</x:v>
      </x:c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9" hidden="0" customWidth="1"/>
    <x:col min="4" max="4" width="25" hidden="0" customWidth="1"/>
    <x:col min="5" max="5" width="34" hidden="0" customWidth="1"/>
    <x:col min="6" max="6" width="16" hidden="0" customWidth="1"/>
    <x:col min="7" max="7" width="18" hidden="0" customWidth="1"/>
    <x:col min="8" max="8" width="15" hidden="0" customWidth="1"/>
    <x:col min="9" max="9" width="16" hidden="0" customWidth="1"/>
    <x:col min="10" max="10" width="16" hidden="0" customWidth="1"/>
    <x:col min="11" max="11" width="15" hidden="0" customWidth="1"/>
    <x:col min="12" max="12" width="15" hidden="0" customWidth="1"/>
    <x:col min="13" max="13" width="14" hidden="0" customWidth="1"/>
    <x:col min="14" max="14" width="18" hidden="0" customWidth="1"/>
    <x:col min="15" max="15" width="31" hidden="0" customWidth="1"/>
    <x:col min="16" max="16" width="25" hidden="0" customWidth="1"/>
    <x:col min="17" max="17" width="16" hidden="0" customWidth="1"/>
    <x:col min="18" max="18" width="31" hidden="0" customWidth="1"/>
  </x:cols>
  <x:sheetData>
    <x:row r="1" ht="34" customHeight="1">
      <x:c r="A1" s="6" t="str">
        <x:v>重点事项、风险与老板批复闭环模板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4" customHeight="1">
      <x:c r="A2" s="9" t="str">
        <x:v>黄色为人工填写，蓝色为公式判断；日报、周报、月报共用同一台账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3" ht="28" customHeight="1">
      <x:c r="A3" s="61" t="str">
        <x:v>事项/风险ID不得重复；原截止日不得覆盖；已完成/已关闭必须有验证结果；红色风险和老板批复即时更新。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6" customHeight="1">
      <x:c r="A5" s="48" t="str">
        <x:v>一、重点事项台账</x:v>
      </x:c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</x:row>
    <x:row r="6" ht="30" customHeight="1">
      <x:c r="A6" s="18" t="str">
        <x:v>事项ID</x:v>
      </x:c>
      <x:c r="B6" s="18" t="str">
        <x:v>来源</x:v>
      </x:c>
      <x:c r="C6" s="18" t="str">
        <x:v>业务板块</x:v>
      </x:c>
      <x:c r="D6" s="18" t="str">
        <x:v>事项名称</x:v>
      </x:c>
      <x:c r="E6" s="18" t="str">
        <x:v>目标结果</x:v>
      </x:c>
      <x:c r="F6" s="18" t="str">
        <x:v>责任人</x:v>
      </x:c>
      <x:c r="G6" s="18" t="str">
        <x:v>协同人</x:v>
      </x:c>
      <x:c r="H6" s="18" t="str">
        <x:v>开始日期</x:v>
      </x:c>
      <x:c r="I6" s="18" t="str">
        <x:v>原截止日</x:v>
      </x:c>
      <x:c r="J6" s="18" t="str">
        <x:v>当前截止日</x:v>
      </x:c>
      <x:c r="K6" s="18" t="str">
        <x:v>实际进度</x:v>
      </x:c>
      <x:c r="L6" s="18" t="str">
        <x:v>时间进度</x:v>
      </x:c>
      <x:c r="M6" s="18" t="str">
        <x:v>偏差</x:v>
      </x:c>
      <x:c r="N6" s="18" t="str">
        <x:v>状态</x:v>
      </x:c>
      <x:c r="O6" s="18" t="str">
        <x:v>今日/本周进展</x:v>
      </x:c>
      <x:c r="P6" s="18" t="str">
        <x:v>下一节点</x:v>
      </x:c>
      <x:c r="Q6" s="18" t="str">
        <x:v>需老板介入</x:v>
      </x:c>
      <x:c r="R6" s="18" t="str">
        <x:v>决策诉求</x:v>
      </x:c>
    </x:row>
    <x:row r="7" ht="48" customHeight="1">
      <x:c r="A7" s="65"/>
      <x:c r="B7" s="65"/>
      <x:c r="C7" s="65"/>
      <x:c r="D7" s="65"/>
      <x:c r="E7" s="65"/>
      <x:c r="F7" s="65"/>
      <x:c r="G7" s="65"/>
      <x:c r="H7" s="66"/>
      <x:c r="I7" s="66"/>
      <x:c r="J7" s="66"/>
      <x:c r="K7" s="67"/>
      <x:c r="L7" s="69" t="str">
        <x:f>IF(OR(H7="",J7=""),"",MAX(0,MIN(1,(TODAY()-H7)/(J7-H7))))</x:f>
      </x:c>
      <x:c r="M7" s="69" t="str">
        <x:f>IF(OR(K7="",L7=""),"",K7-L7)</x:f>
      </x:c>
      <x:c r="N7" s="70" t="str">
        <x:f>IF(A7="","",IF(K7&gt;=1,"已完成",IF(TODAY()&gt;J7,"逾期",IF(M7&lt;=-20%,"红色预警",IF(M7&lt;=-10%,"黄色关注","正常")))))</x:f>
      </x:c>
      <x:c r="O7" s="65"/>
      <x:c r="P7" s="65"/>
      <x:c r="Q7" s="65"/>
      <x:c r="R7" s="65"/>
    </x:row>
    <x:row r="8" ht="48" customHeight="1">
      <x:c r="A8" s="65"/>
      <x:c r="B8" s="65"/>
      <x:c r="C8" s="65"/>
      <x:c r="D8" s="65"/>
      <x:c r="E8" s="65"/>
      <x:c r="F8" s="65"/>
      <x:c r="G8" s="65"/>
      <x:c r="H8" s="66"/>
      <x:c r="I8" s="66"/>
      <x:c r="J8" s="66"/>
      <x:c r="K8" s="67"/>
      <x:c r="L8" s="69" t="str">
        <x:f>IF(OR(H8="",J8=""),"",MAX(0,MIN(1,(TODAY()-H8)/(J8-H8))))</x:f>
      </x:c>
      <x:c r="M8" s="69" t="str">
        <x:f>IF(OR(K8="",L8=""),"",K8-L8)</x:f>
      </x:c>
      <x:c r="N8" s="70" t="str">
        <x:f>IF(A8="","",IF(K8&gt;=1,"已完成",IF(TODAY()&gt;J8,"逾期",IF(M8&lt;=-20%,"红色预警",IF(M8&lt;=-10%,"黄色关注","正常")))))</x:f>
      </x:c>
      <x:c r="O8" s="65"/>
      <x:c r="P8" s="65"/>
      <x:c r="Q8" s="65"/>
      <x:c r="R8" s="65"/>
    </x:row>
    <x:row r="9" ht="48" customHeight="1">
      <x:c r="A9" s="65"/>
      <x:c r="B9" s="65"/>
      <x:c r="C9" s="65"/>
      <x:c r="D9" s="65"/>
      <x:c r="E9" s="65"/>
      <x:c r="F9" s="65"/>
      <x:c r="G9" s="65"/>
      <x:c r="H9" s="66"/>
      <x:c r="I9" s="66"/>
      <x:c r="J9" s="66"/>
      <x:c r="K9" s="67"/>
      <x:c r="L9" s="69" t="str">
        <x:f>IF(OR(H9="",J9=""),"",MAX(0,MIN(1,(TODAY()-H9)/(J9-H9))))</x:f>
      </x:c>
      <x:c r="M9" s="69" t="str">
        <x:f>IF(OR(K9="",L9=""),"",K9-L9)</x:f>
      </x:c>
      <x:c r="N9" s="70" t="str">
        <x:f>IF(A9="","",IF(K9&gt;=1,"已完成",IF(TODAY()&gt;J9,"逾期",IF(M9&lt;=-20%,"红色预警",IF(M9&lt;=-10%,"黄色关注","正常")))))</x:f>
      </x:c>
      <x:c r="O9" s="65"/>
      <x:c r="P9" s="65"/>
      <x:c r="Q9" s="65"/>
      <x:c r="R9" s="65"/>
    </x:row>
    <x:row r="10" ht="48" customHeight="1">
      <x:c r="A10" s="65"/>
      <x:c r="B10" s="65"/>
      <x:c r="C10" s="65"/>
      <x:c r="D10" s="65"/>
      <x:c r="E10" s="65"/>
      <x:c r="F10" s="65"/>
      <x:c r="G10" s="65"/>
      <x:c r="H10" s="66"/>
      <x:c r="I10" s="66"/>
      <x:c r="J10" s="66"/>
      <x:c r="K10" s="67"/>
      <x:c r="L10" s="69" t="str">
        <x:f>IF(OR(H10="",J10=""),"",MAX(0,MIN(1,(TODAY()-H10)/(J10-H10))))</x:f>
      </x:c>
      <x:c r="M10" s="69" t="str">
        <x:f>IF(OR(K10="",L10=""),"",K10-L10)</x:f>
      </x:c>
      <x:c r="N10" s="70" t="str">
        <x:f>IF(A10="","",IF(K10&gt;=1,"已完成",IF(TODAY()&gt;J10,"逾期",IF(M10&lt;=-20%,"红色预警",IF(M10&lt;=-10%,"黄色关注","正常")))))</x:f>
      </x:c>
      <x:c r="O10" s="65"/>
      <x:c r="P10" s="65"/>
      <x:c r="Q10" s="65"/>
      <x:c r="R10" s="65"/>
    </x:row>
    <x:row r="11" ht="48" customHeight="1">
      <x:c r="A11" s="65"/>
      <x:c r="B11" s="65"/>
      <x:c r="C11" s="65"/>
      <x:c r="D11" s="65"/>
      <x:c r="E11" s="65"/>
      <x:c r="F11" s="65"/>
      <x:c r="G11" s="65"/>
      <x:c r="H11" s="66"/>
      <x:c r="I11" s="66"/>
      <x:c r="J11" s="66"/>
      <x:c r="K11" s="67"/>
      <x:c r="L11" s="69" t="str">
        <x:f>IF(OR(H11="",J11=""),"",MAX(0,MIN(1,(TODAY()-H11)/(J11-H11))))</x:f>
      </x:c>
      <x:c r="M11" s="69" t="str">
        <x:f>IF(OR(K11="",L11=""),"",K11-L11)</x:f>
      </x:c>
      <x:c r="N11" s="70" t="str">
        <x:f>IF(A11="","",IF(K11&gt;=1,"已完成",IF(TODAY()&gt;J11,"逾期",IF(M11&lt;=-20%,"红色预警",IF(M11&lt;=-10%,"黄色关注","正常")))))</x:f>
      </x:c>
      <x:c r="O11" s="65"/>
      <x:c r="P11" s="65"/>
      <x:c r="Q11" s="65"/>
      <x:c r="R11" s="65"/>
    </x:row>
    <x:row r="12" ht="48" customHeight="1">
      <x:c r="A12" s="65"/>
      <x:c r="B12" s="65"/>
      <x:c r="C12" s="65"/>
      <x:c r="D12" s="65"/>
      <x:c r="E12" s="65"/>
      <x:c r="F12" s="65"/>
      <x:c r="G12" s="65"/>
      <x:c r="H12" s="66"/>
      <x:c r="I12" s="66"/>
      <x:c r="J12" s="66"/>
      <x:c r="K12" s="67"/>
      <x:c r="L12" s="69" t="str">
        <x:f>IF(OR(H12="",J12=""),"",MAX(0,MIN(1,(TODAY()-H12)/(J12-H12))))</x:f>
      </x:c>
      <x:c r="M12" s="69" t="str">
        <x:f>IF(OR(K12="",L12=""),"",K12-L12)</x:f>
      </x:c>
      <x:c r="N12" s="70" t="str">
        <x:f>IF(A12="","",IF(K12&gt;=1,"已完成",IF(TODAY()&gt;J12,"逾期",IF(M12&lt;=-20%,"红色预警",IF(M12&lt;=-10%,"黄色关注","正常")))))</x:f>
      </x:c>
      <x:c r="O12" s="65"/>
      <x:c r="P12" s="65"/>
      <x:c r="Q12" s="65"/>
      <x:c r="R12" s="65"/>
    </x:row>
    <x:row r="13" ht="48" customHeight="1">
      <x:c r="A13" s="65"/>
      <x:c r="B13" s="65"/>
      <x:c r="C13" s="65"/>
      <x:c r="D13" s="65"/>
      <x:c r="E13" s="65"/>
      <x:c r="F13" s="65"/>
      <x:c r="G13" s="65"/>
      <x:c r="H13" s="66"/>
      <x:c r="I13" s="66"/>
      <x:c r="J13" s="66"/>
      <x:c r="K13" s="67"/>
      <x:c r="L13" s="69" t="str">
        <x:f>IF(OR(H13="",J13=""),"",MAX(0,MIN(1,(TODAY()-H13)/(J13-H13))))</x:f>
      </x:c>
      <x:c r="M13" s="69" t="str">
        <x:f>IF(OR(K13="",L13=""),"",K13-L13)</x:f>
      </x:c>
      <x:c r="N13" s="70" t="str">
        <x:f>IF(A13="","",IF(K13&gt;=1,"已完成",IF(TODAY()&gt;J13,"逾期",IF(M13&lt;=-20%,"红色预警",IF(M13&lt;=-10%,"黄色关注","正常")))))</x:f>
      </x:c>
      <x:c r="O13" s="65"/>
      <x:c r="P13" s="65"/>
      <x:c r="Q13" s="65"/>
      <x:c r="R13" s="65"/>
    </x:row>
    <x:row r="14" ht="48" customHeight="1">
      <x:c r="A14" s="65"/>
      <x:c r="B14" s="65"/>
      <x:c r="C14" s="65"/>
      <x:c r="D14" s="65"/>
      <x:c r="E14" s="65"/>
      <x:c r="F14" s="65"/>
      <x:c r="G14" s="65"/>
      <x:c r="H14" s="66"/>
      <x:c r="I14" s="66"/>
      <x:c r="J14" s="66"/>
      <x:c r="K14" s="67"/>
      <x:c r="L14" s="69" t="str">
        <x:f>IF(OR(H14="",J14=""),"",MAX(0,MIN(1,(TODAY()-H14)/(J14-H14))))</x:f>
      </x:c>
      <x:c r="M14" s="69" t="str">
        <x:f>IF(OR(K14="",L14=""),"",K14-L14)</x:f>
      </x:c>
      <x:c r="N14" s="70" t="str">
        <x:f>IF(A14="","",IF(K14&gt;=1,"已完成",IF(TODAY()&gt;J14,"逾期",IF(M14&lt;=-20%,"红色预警",IF(M14&lt;=-10%,"黄色关注","正常")))))</x:f>
      </x:c>
      <x:c r="O14" s="65"/>
      <x:c r="P14" s="65"/>
      <x:c r="Q14" s="65"/>
      <x:c r="R14" s="65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6" customHeight="1">
      <x:c r="A16" s="73" t="str">
        <x:v>二、风险与老板批复闭环</x:v>
      </x:c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</x:row>
    <x:row r="17" ht="30" customHeight="1">
      <x:c r="A17" s="18" t="str">
        <x:v>风险ID</x:v>
      </x:c>
      <x:c r="B17" s="18" t="str">
        <x:v>风险等级</x:v>
      </x:c>
      <x:c r="C17" s="18" t="str">
        <x:v>风险类型</x:v>
      </x:c>
      <x:c r="D17" s="18" t="str">
        <x:v>业务板块</x:v>
      </x:c>
      <x:c r="E17" s="18" t="str">
        <x:v>风险描述</x:v>
      </x:c>
      <x:c r="F17" s="18" t="str">
        <x:v>影响金额</x:v>
      </x:c>
      <x:c r="G17" s="18" t="str">
        <x:v>影响范围</x:v>
      </x:c>
      <x:c r="H17" s="18" t="str">
        <x:v>发生概率</x:v>
      </x:c>
      <x:c r="I17" s="18" t="str">
        <x:v>当前措施</x:v>
      </x:c>
      <x:c r="J17" s="18" t="str">
        <x:v>剩余敞口</x:v>
      </x:c>
      <x:c r="K17" s="18" t="str">
        <x:v>责任人</x:v>
      </x:c>
      <x:c r="L17" s="18" t="str">
        <x:v>截止日</x:v>
      </x:c>
      <x:c r="M17" s="18" t="str">
        <x:v>处置状态</x:v>
      </x:c>
      <x:c r="N17" s="18" t="str">
        <x:v>建议方案</x:v>
      </x:c>
      <x:c r="O17" s="18" t="str">
        <x:v>老板批复</x:v>
      </x:c>
      <x:c r="P17" s="18" t="str">
        <x:v>接收确认</x:v>
      </x:c>
      <x:c r="Q17" s="18" t="str">
        <x:v>结果验证</x:v>
      </x:c>
      <x:c r="R17" s="18" t="str">
        <x:v>关闭日期</x:v>
      </x:c>
    </x:row>
    <x:row r="18" ht="52" customHeight="1">
      <x:c r="A18" s="65"/>
      <x:c r="B18" s="65"/>
      <x:c r="C18" s="65"/>
      <x:c r="D18" s="65"/>
      <x:c r="E18" s="65"/>
      <x:c r="F18" s="74"/>
      <x:c r="G18" s="65"/>
      <x:c r="H18" s="65"/>
      <x:c r="I18" s="65"/>
      <x:c r="J18" s="65"/>
      <x:c r="K18" s="65"/>
      <x:c r="L18" s="66"/>
      <x:c r="M18" s="65"/>
      <x:c r="N18" s="65"/>
      <x:c r="O18" s="65"/>
      <x:c r="P18" s="65"/>
      <x:c r="Q18" s="65"/>
      <x:c r="R18" s="66"/>
    </x:row>
    <x:row r="19" ht="52" customHeight="1">
      <x:c r="A19" s="65"/>
      <x:c r="B19" s="65"/>
      <x:c r="C19" s="65"/>
      <x:c r="D19" s="65"/>
      <x:c r="E19" s="65"/>
      <x:c r="F19" s="74"/>
      <x:c r="G19" s="65"/>
      <x:c r="H19" s="65"/>
      <x:c r="I19" s="65"/>
      <x:c r="J19" s="65"/>
      <x:c r="K19" s="65"/>
      <x:c r="L19" s="66"/>
      <x:c r="M19" s="65"/>
      <x:c r="N19" s="65"/>
      <x:c r="O19" s="65"/>
      <x:c r="P19" s="65"/>
      <x:c r="Q19" s="65"/>
      <x:c r="R19" s="66"/>
    </x:row>
    <x:row r="20" ht="52" customHeight="1">
      <x:c r="A20" s="65"/>
      <x:c r="B20" s="65"/>
      <x:c r="C20" s="65"/>
      <x:c r="D20" s="65"/>
      <x:c r="E20" s="65"/>
      <x:c r="F20" s="74"/>
      <x:c r="G20" s="65"/>
      <x:c r="H20" s="65"/>
      <x:c r="I20" s="65"/>
      <x:c r="J20" s="65"/>
      <x:c r="K20" s="65"/>
      <x:c r="L20" s="66"/>
      <x:c r="M20" s="65"/>
      <x:c r="N20" s="65"/>
      <x:c r="O20" s="65"/>
      <x:c r="P20" s="65"/>
      <x:c r="Q20" s="65"/>
      <x:c r="R20" s="66"/>
    </x:row>
    <x:row r="21" ht="52" customHeight="1">
      <x:c r="A21" s="65"/>
      <x:c r="B21" s="65"/>
      <x:c r="C21" s="65"/>
      <x:c r="D21" s="65"/>
      <x:c r="E21" s="65"/>
      <x:c r="F21" s="74"/>
      <x:c r="G21" s="65"/>
      <x:c r="H21" s="65"/>
      <x:c r="I21" s="65"/>
      <x:c r="J21" s="65"/>
      <x:c r="K21" s="65"/>
      <x:c r="L21" s="66"/>
      <x:c r="M21" s="65"/>
      <x:c r="N21" s="65"/>
      <x:c r="O21" s="65"/>
      <x:c r="P21" s="65"/>
      <x:c r="Q21" s="65"/>
      <x:c r="R21" s="66"/>
    </x:row>
    <x:row r="22" ht="52" customHeight="1">
      <x:c r="A22" s="65"/>
      <x:c r="B22" s="65"/>
      <x:c r="C22" s="65"/>
      <x:c r="D22" s="65"/>
      <x:c r="E22" s="65"/>
      <x:c r="F22" s="74"/>
      <x:c r="G22" s="65"/>
      <x:c r="H22" s="65"/>
      <x:c r="I22" s="65"/>
      <x:c r="J22" s="65"/>
      <x:c r="K22" s="65"/>
      <x:c r="L22" s="66"/>
      <x:c r="M22" s="65"/>
      <x:c r="N22" s="65"/>
      <x:c r="O22" s="65"/>
      <x:c r="P22" s="65"/>
      <x:c r="Q22" s="65"/>
      <x:c r="R22" s="66"/>
    </x:row>
    <x:row r="23" ht="52" customHeight="1">
      <x:c r="A23" s="65"/>
      <x:c r="B23" s="65"/>
      <x:c r="C23" s="65"/>
      <x:c r="D23" s="65"/>
      <x:c r="E23" s="65"/>
      <x:c r="F23" s="74"/>
      <x:c r="G23" s="65"/>
      <x:c r="H23" s="65"/>
      <x:c r="I23" s="65"/>
      <x:c r="J23" s="65"/>
      <x:c r="K23" s="65"/>
      <x:c r="L23" s="66"/>
      <x:c r="M23" s="65"/>
      <x:c r="N23" s="65"/>
      <x:c r="O23" s="65"/>
      <x:c r="P23" s="65"/>
      <x:c r="Q23" s="65"/>
      <x:c r="R23" s="66"/>
    </x:row>
    <x:row r="24" ht="52" customHeight="1">
      <x:c r="A24" s="65"/>
      <x:c r="B24" s="65"/>
      <x:c r="C24" s="65"/>
      <x:c r="D24" s="65"/>
      <x:c r="E24" s="65"/>
      <x:c r="F24" s="74"/>
      <x:c r="G24" s="65"/>
      <x:c r="H24" s="65"/>
      <x:c r="I24" s="65"/>
      <x:c r="J24" s="65"/>
      <x:c r="K24" s="65"/>
      <x:c r="L24" s="66"/>
      <x:c r="M24" s="65"/>
      <x:c r="N24" s="65"/>
      <x:c r="O24" s="65"/>
      <x:c r="P24" s="65"/>
      <x:c r="Q24" s="65"/>
      <x:c r="R24" s="66"/>
    </x:row>
    <x:row r="25" ht="52" customHeight="1">
      <x:c r="A25" s="65"/>
      <x:c r="B25" s="65"/>
      <x:c r="C25" s="65"/>
      <x:c r="D25" s="65"/>
      <x:c r="E25" s="65"/>
      <x:c r="F25" s="74"/>
      <x:c r="G25" s="65"/>
      <x:c r="H25" s="65"/>
      <x:c r="I25" s="65"/>
      <x:c r="J25" s="65"/>
      <x:c r="K25" s="65"/>
      <x:c r="L25" s="66"/>
      <x:c r="M25" s="65"/>
      <x:c r="N25" s="65"/>
      <x:c r="O25" s="65"/>
      <x:c r="P25" s="65"/>
      <x:c r="Q25" s="65"/>
      <x:c r="R25" s="66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6" customHeight="1">
      <x:c r="A27" s="76" t="str">
        <x:v>三、关闭控制</x:v>
      </x:c>
      <x:c r="B27" s="76"/>
      <x:c r="C27" s="76"/>
      <x:c r="D27" s="76"/>
      <x:c r="E27" s="76"/>
      <x:c r="F27" s="76"/>
      <x:c r="G27" s="76"/>
      <x:c r="H27" s="76"/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</x:row>
    <x:row r="28" ht="30" customHeight="1">
      <x:c r="A28" s="18" t="str">
        <x:v>控制项</x:v>
      </x:c>
      <x:c r="B28" s="18" t="str">
        <x:v>要求</x:v>
      </x:c>
      <x:c r="C28" s="18" t="str"/>
      <x:c r="D28" s="18" t="str"/>
      <x:c r="E28" s="18" t="str"/>
      <x:c r="F28" s="18" t="str"/>
      <x:c r="G28" s="18" t="str">
        <x:v>管理目的</x:v>
      </x:c>
      <x:c r="H28" s="18" t="str"/>
      <x:c r="I28" s="18" t="str"/>
      <x:c r="J28" s="18" t="str"/>
      <x:c r="K28" s="18" t="str"/>
      <x:c r="L28" s="18" t="str"/>
      <x:c r="M28" s="18" t="str"/>
      <x:c r="N28" s="18" t="str"/>
      <x:c r="O28" s="18" t="str">
        <x:v>责任</x:v>
      </x:c>
      <x:c r="P28" s="18" t="str"/>
      <x:c r="Q28" s="18" t="str"/>
      <x:c r="R28" s="18" t="str"/>
    </x:row>
    <x:row r="29">
      <x:c r="A29" s="21" t="str">
        <x:v>控制1</x:v>
      </x:c>
      <x:c r="B29" s="21" t="str">
        <x:v>ID不得重复</x:v>
      </x:c>
      <x:c r="C29" s="21"/>
      <x:c r="D29" s="21"/>
      <x:c r="E29" s="21"/>
      <x:c r="F29" s="21"/>
      <x:c r="G29" s="21" t="str">
        <x:v>同一事项跨日报/周报/月报持续追踪</x:v>
      </x:c>
      <x:c r="H29" s="21"/>
      <x:c r="I29" s="21"/>
      <x:c r="J29" s="21"/>
      <x:c r="K29" s="21"/>
      <x:c r="L29" s="21"/>
      <x:c r="M29" s="21"/>
      <x:c r="N29" s="21"/>
      <x:c r="O29" s="21" t="str">
        <x:v>总经办</x:v>
      </x:c>
      <x:c r="P29" s="21"/>
      <x:c r="Q29" s="21"/>
      <x:c r="R29" s="21"/>
    </x:row>
    <x:row r="30">
      <x:c r="A30" s="21" t="str">
        <x:v>控制2</x:v>
      </x:c>
      <x:c r="B30" s="21" t="str">
        <x:v>原截止日不得覆盖</x:v>
      </x:c>
      <x:c r="C30" s="21"/>
      <x:c r="D30" s="21"/>
      <x:c r="E30" s="21"/>
      <x:c r="F30" s="21"/>
      <x:c r="G30" s="21" t="str">
        <x:v>延期次数和管理承诺可追溯</x:v>
      </x:c>
      <x:c r="H30" s="21"/>
      <x:c r="I30" s="21"/>
      <x:c r="J30" s="21"/>
      <x:c r="K30" s="21"/>
      <x:c r="L30" s="21"/>
      <x:c r="M30" s="21"/>
      <x:c r="N30" s="21"/>
      <x:c r="O30" s="21" t="str">
        <x:v>事项责任人</x:v>
      </x:c>
      <x:c r="P30" s="21"/>
      <x:c r="Q30" s="21"/>
      <x:c r="R30" s="21"/>
    </x:row>
    <x:row r="31">
      <x:c r="A31" s="21" t="str">
        <x:v>控制3</x:v>
      </x:c>
      <x:c r="B31" s="21" t="str">
        <x:v>完成/关闭必须有验证结果</x:v>
      </x:c>
      <x:c r="C31" s="21"/>
      <x:c r="D31" s="21"/>
      <x:c r="E31" s="21"/>
      <x:c r="F31" s="21"/>
      <x:c r="G31" s="21" t="str">
        <x:v>防止以“已沟通”代替完成</x:v>
      </x:c>
      <x:c r="H31" s="21"/>
      <x:c r="I31" s="21"/>
      <x:c r="J31" s="21"/>
      <x:c r="K31" s="21"/>
      <x:c r="L31" s="21"/>
      <x:c r="M31" s="21"/>
      <x:c r="N31" s="21"/>
      <x:c r="O31" s="21" t="str">
        <x:v>复核责任人</x:v>
      </x:c>
      <x:c r="P31" s="21"/>
      <x:c r="Q31" s="21"/>
      <x:c r="R31" s="21"/>
    </x:row>
    <x:row r="32">
      <x:c r="A32" s="21" t="str">
        <x:v>控制4</x:v>
      </x:c>
      <x:c r="B32" s="21" t="str">
        <x:v>红色风险与老板批复即时更新</x:v>
      </x:c>
      <x:c r="C32" s="21"/>
      <x:c r="D32" s="21"/>
      <x:c r="E32" s="21"/>
      <x:c r="F32" s="21"/>
      <x:c r="G32" s="21" t="str">
        <x:v>不等待日报批次</x:v>
      </x:c>
      <x:c r="H32" s="21"/>
      <x:c r="I32" s="21"/>
      <x:c r="J32" s="21"/>
      <x:c r="K32" s="21"/>
      <x:c r="L32" s="21"/>
      <x:c r="M32" s="21"/>
      <x:c r="N32" s="21"/>
      <x:c r="O32" s="21" t="str">
        <x:v>风险责任人/总经办</x:v>
      </x:c>
      <x:c r="P32" s="21"/>
      <x:c r="Q32" s="21"/>
      <x:c r="R32" s="21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</x:sheetData>
  <x:mergeCells>
    <x:mergeCell ref="A1:R1"/>
    <x:mergeCell ref="A2:R2"/>
    <x:mergeCell ref="A3:R3"/>
    <x:mergeCell ref="A5:R5"/>
    <x:mergeCell ref="A16:R16"/>
    <x:mergeCell ref="A27:R27"/>
    <x:mergeCell ref="B28:F28"/>
    <x:mergeCell ref="G28:N28"/>
    <x:mergeCell ref="O28:R28"/>
    <x:mergeCell ref="B29:F29"/>
    <x:mergeCell ref="G29:N29"/>
    <x:mergeCell ref="O29:R29"/>
    <x:mergeCell ref="B30:F30"/>
    <x:mergeCell ref="G30:N30"/>
    <x:mergeCell ref="O30:R30"/>
    <x:mergeCell ref="B31:F31"/>
    <x:mergeCell ref="G31:N31"/>
    <x:mergeCell ref="O31:R31"/>
    <x:mergeCell ref="B32:F32"/>
    <x:mergeCell ref="G32:N32"/>
    <x:mergeCell ref="O32:R32"/>
  </x:mergeCells>
  <x:conditionalFormatting sqref="N7:N14">
    <x:cfRule type="containsText" dxfId="0" priority="1" operator="containsText" text="正常"/>
    <x:cfRule type="containsText" dxfId="1" priority="2" operator="containsText" text="黄色"/>
    <x:cfRule type="containsText" dxfId="2" priority="3" operator="containsText" text="红色"/>
    <x:cfRule type="containsText" dxfId="3" priority="4" operator="containsText" text="逾期"/>
    <x:cfRule type="containsText" dxfId="4" priority="5" operator="containsText" text="已完成"/>
  </x:conditionalFormatting>
  <x:conditionalFormatting sqref="B18:B25">
    <x:cfRule type="containsText" dxfId="5" priority="6" operator="containsText" text="红"/>
    <x:cfRule type="containsText" dxfId="6" priority="7" operator="containsText" text="黄"/>
  </x:conditionalFormatting>
  <x:dataValidations count="7">
    <x:dataValidation type="list" sqref="B7:B14">
      <x:formula1>"老板交办,经营会,周会,部门计划,风险整改,其他"</x:formula1>
    </x:dataValidation>
    <x:dataValidation type="list" sqref="C7:C14">
      <x:formula1>"APR门店,Apple电商,Shure电商,3PP/渠道分销,职能保障,公司级"</x:formula1>
    </x:dataValidation>
    <x:dataValidation type="list" sqref="Q7:Q14">
      <x:formula1>"是,否"</x:formula1>
    </x:dataValidation>
    <x:dataValidation type="list" sqref="B18:B25">
      <x:formula1>"红色,黄色,蓝色"</x:formula1>
    </x:dataValidation>
    <x:dataValidation type="list" sqref="C18:C25">
      <x:formula1>"经营,库存,资金,客户/平台,定价,营销,收银结算,合规,人员,数据,其他"</x:formula1>
    </x:dataValidation>
    <x:dataValidation type="list" sqref="H18:H25">
      <x:formula1>"高,中,低"</x:formula1>
    </x:dataValidation>
    <x:dataValidation type="list" sqref="M18:M25">
      <x:formula1>"未开始,处理中,待验证,已关闭"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34" hidden="0" customWidth="1"/>
    <x:col min="4" max="4" width="51" hidden="0" customWidth="1"/>
    <x:col min="5" max="5" width="16" hidden="0" customWidth="1"/>
    <x:col min="6" max="6" width="30" hidden="0" customWidth="1"/>
    <x:col min="7" max="7" width="31" hidden="0" customWidth="1"/>
    <x:col min="8" max="8" width="23" hidden="0" customWidth="1"/>
    <x:col min="9" max="9" width="30" hidden="0" customWidth="1"/>
  </x:cols>
  <x:sheetData>
    <x:row r="1" ht="34" customHeight="1">
      <x:c r="A1" s="6" t="str">
        <x:v>经营管理简报附表与下钻清单</x:v>
      </x:c>
      <x:c r="B1" s="6"/>
      <x:c r="C1" s="6"/>
      <x:c r="D1" s="6"/>
      <x:c r="E1" s="6"/>
      <x:c r="F1" s="6"/>
      <x:c r="G1" s="6"/>
      <x:c r="H1" s="6"/>
      <x:c r="I1" s="6"/>
    </x:row>
    <x:row r="2" ht="24" customHeight="1">
      <x:c r="A2" s="9" t="str">
        <x:v>主表只保留结论与异常，全量门店、渠道、客户、商品和事项进入附表</x:v>
      </x:c>
      <x:c r="B2" s="9"/>
      <x:c r="C2" s="9"/>
      <x:c r="D2" s="9"/>
      <x:c r="E2" s="9"/>
      <x:c r="F2" s="9"/>
      <x:c r="G2" s="9"/>
      <x:c r="H2" s="9"/>
      <x:c r="I2" s="9"/>
    </x:row>
    <x:row r="3" ht="28" customHeight="1">
      <x:c r="A3" s="51" t="str">
        <x:v>附表为数据依据，不直接堆到老板首页。正式上线时可按同一字段结构由Excel收集、AI汇总或系统接口生成。</x:v>
      </x:c>
      <x:c r="B3" s="51"/>
      <x:c r="C3" s="51"/>
      <x:c r="D3" s="51"/>
      <x:c r="E3" s="51"/>
      <x:c r="F3" s="51"/>
      <x:c r="G3" s="51"/>
      <x:c r="H3" s="51"/>
      <x:c r="I3" s="51"/>
    </x:row>
    <x:row r="4" ht="30" customHeight="1">
      <x:c r="A4" s="18" t="str">
        <x:v>编号</x:v>
      </x:c>
      <x:c r="B4" s="18" t="str">
        <x:v>附表名称</x:v>
      </x:c>
      <x:c r="C4" s="18" t="str">
        <x:v>主要维度</x:v>
      </x:c>
      <x:c r="D4" s="18" t="str">
        <x:v>核心字段</x:v>
      </x:c>
      <x:c r="E4" s="18" t="str">
        <x:v>频率</x:v>
      </x:c>
      <x:c r="F4" s="18" t="str">
        <x:v>数据来源</x:v>
      </x:c>
      <x:c r="G4" s="18" t="str">
        <x:v>管理用途</x:v>
      </x:c>
      <x:c r="H4" s="18" t="str">
        <x:v>主表入口</x:v>
      </x:c>
      <x:c r="I4" s="18" t="str">
        <x:v>控制说明</x:v>
      </x:c>
    </x:row>
    <x:row r="5" ht="54" customHeight="1">
      <x:c r="A5" s="21" t="str">
        <x:v>A01</x:v>
      </x:c>
      <x:c r="B5" s="21" t="str">
        <x:v>公司经营汇总</x:v>
      </x:c>
      <x:c r="C5" s="21" t="str">
        <x:v>日/周/月、四大板块</x:v>
      </x:c>
      <x:c r="D5" s="21" t="str">
        <x:v>实销、目标、毛利、贡献毛利、订单、客流/UV、库存、应收</x:v>
      </x:c>
      <x:c r="E5" s="21" t="str">
        <x:v>日/周/月</x:v>
      </x:c>
      <x:c r="F5" s="21" t="str">
        <x:v>财务/ERP</x:v>
      </x:c>
      <x:c r="G5" s="21" t="str">
        <x:v>公司总盘勾稽</x:v>
      </x:c>
      <x:c r="H5" s="21" t="str">
        <x:v>经营总览</x:v>
      </x:c>
      <x:c r="I5" s="21" t="str">
        <x:v>核心</x:v>
      </x:c>
    </x:row>
    <x:row r="6" ht="54" customHeight="1">
      <x:c r="A6" s="21" t="str">
        <x:v>A02</x:v>
      </x:c>
      <x:c r="B6" s="21" t="str">
        <x:v>APR门店经营明细</x:v>
      </x:c>
      <x:c r="C6" s="21" t="str">
        <x:v>日期、门店、渠道</x:v>
      </x:c>
      <x:c r="D6" s="21" t="str">
        <x:v>销售、目标、毛利、客流、转化、客单、配件/服务、库存、合规</x:v>
      </x:c>
      <x:c r="E6" s="21" t="str">
        <x:v>每日</x:v>
      </x:c>
      <x:c r="F6" s="21" t="str">
        <x:v>ERP/MyBusiness/客流</x:v>
      </x:c>
      <x:c r="G6" s="21" t="str">
        <x:v>门店诊断</x:v>
      </x:c>
      <x:c r="H6" s="21" t="str">
        <x:v>APR板块</x:v>
      </x:c>
      <x:c r="I6" s="21" t="str">
        <x:v>全门店</x:v>
      </x:c>
    </x:row>
    <x:row r="7" ht="54" customHeight="1">
      <x:c r="A7" s="21" t="str">
        <x:v>A03</x:v>
      </x:c>
      <x:c r="B7" s="21" t="str">
        <x:v>APR员工及服务项目</x:v>
      </x:c>
      <x:c r="C7" s="21" t="str">
        <x:v>员工、门店、日期</x:v>
      </x:c>
      <x:c r="D7" s="21" t="str">
        <x:v>销售、毛利、主机/配件、ACS、Trade In、Setup、分期、培训认证</x:v>
      </x:c>
      <x:c r="E7" s="21" t="str">
        <x:v>周/月</x:v>
      </x:c>
      <x:c r="F7" s="21" t="str">
        <x:v>门店/Apple系统</x:v>
      </x:c>
      <x:c r="G7" s="21" t="str">
        <x:v>人效与能力</x:v>
      </x:c>
      <x:c r="H7" s="21" t="str">
        <x:v>APR明细</x:v>
      </x:c>
      <x:c r="I7" s="21" t="str">
        <x:v>不进日报首页</x:v>
      </x:c>
    </x:row>
    <x:row r="8" ht="54" customHeight="1">
      <x:c r="A8" s="21" t="str">
        <x:v>A04</x:v>
      </x:c>
      <x:c r="B8" s="21" t="str">
        <x:v>Apple电商渠道明细</x:v>
      </x:c>
      <x:c r="C8" s="21" t="str">
        <x:v>京东羽通、苏宁啟韬、商品/活动</x:v>
      </x:c>
      <x:c r="D8" s="21" t="str">
        <x:v>GMV、实销、退款、毛利、费用、ROAS、流量、转化、履约、库存、激活</x:v>
      </x:c>
      <x:c r="E8" s="21" t="str">
        <x:v>每日</x:v>
      </x:c>
      <x:c r="F8" s="21" t="str">
        <x:v>平台/ERP/财务</x:v>
      </x:c>
      <x:c r="G8" s="21" t="str">
        <x:v>渠道经营分析</x:v>
      </x:c>
      <x:c r="H8" s="21" t="str">
        <x:v>Apple电商</x:v>
      </x:c>
      <x:c r="I8" s="21" t="str">
        <x:v>不含天猫</x:v>
      </x:c>
    </x:row>
    <x:row r="9" ht="54" customHeight="1">
      <x:c r="A9" s="21" t="str">
        <x:v>A05</x:v>
      </x:c>
      <x:c r="B9" s="21" t="str">
        <x:v>Shure电商渠道明细</x:v>
      </x:c>
      <x:c r="C9" s="21" t="str">
        <x:v>京东官旗、天猫官旗、商品/活动</x:v>
      </x:c>
      <x:c r="D9" s="21" t="str">
        <x:v>实销、订单、毛利、推广、ROAS、流量、转化、客服、售后、库存</x:v>
      </x:c>
      <x:c r="E9" s="21" t="str">
        <x:v>每日</x:v>
      </x:c>
      <x:c r="F9" s="21" t="str">
        <x:v>平台/ERP/财务</x:v>
      </x:c>
      <x:c r="G9" s="21" t="str">
        <x:v>渠道与SKU分析</x:v>
      </x:c>
      <x:c r="H9" s="21" t="str">
        <x:v>Shure电商</x:v>
      </x:c>
      <x:c r="I9" s="21" t="str">
        <x:v>按当前渠道</x:v>
      </x:c>
    </x:row>
    <x:row r="10" ht="54" customHeight="1">
      <x:c r="A10" s="21" t="str">
        <x:v>A06</x:v>
      </x:c>
      <x:c r="B10" s="21" t="str">
        <x:v>3PP客户/项目/产品</x:v>
      </x:c>
      <x:c r="C10" s="21" t="str">
        <x:v>客户、品牌、项目、区域、门店</x:v>
      </x:c>
      <x:c r="D10" s="21" t="str">
        <x:v>销售、毛利、合同、回款、应收、铺货、动销、库存、里程碑</x:v>
      </x:c>
      <x:c r="E10" s="21" t="str">
        <x:v>日/周</x:v>
      </x:c>
      <x:c r="F10" s="21" t="str">
        <x:v>ERP/项目/财务</x:v>
      </x:c>
      <x:c r="G10" s="21" t="str">
        <x:v>信用与项目管理</x:v>
      </x:c>
      <x:c r="H10" s="21" t="str">
        <x:v>3PP板块</x:v>
      </x:c>
      <x:c r="I10" s="21" t="str">
        <x:v>重点项目</x:v>
      </x:c>
    </x:row>
    <x:row r="11" ht="54" customHeight="1">
      <x:c r="A11" s="21" t="str">
        <x:v>A07</x:v>
      </x:c>
      <x:c r="B11" s="21" t="str">
        <x:v>库存SKU明细</x:v>
      </x:c>
      <x:c r="C11" s="21" t="str">
        <x:v>仓库、板块、渠道、SKU、库龄</x:v>
      </x:c>
      <x:c r="D11" s="21" t="str">
        <x:v>库存、在途、销量、周转、存销比、缺货、90天+/180天+、处理方案</x:v>
      </x:c>
      <x:c r="E11" s="21" t="str">
        <x:v>日/周</x:v>
      </x:c>
      <x:c r="F11" s="21" t="str">
        <x:v>ERP/库存分析</x:v>
      </x:c>
      <x:c r="G11" s="21" t="str">
        <x:v>补货/调拨/清库</x:v>
      </x:c>
      <x:c r="H11" s="21" t="str">
        <x:v>库存总览</x:v>
      </x:c>
      <x:c r="I11" s="21" t="str">
        <x:v>风险SKU</x:v>
      </x:c>
    </x:row>
    <x:row r="12" ht="54" customHeight="1">
      <x:c r="A12" s="21" t="str">
        <x:v>A08</x:v>
      </x:c>
      <x:c r="B12" s="21" t="str">
        <x:v>财务资金与返利</x:v>
      </x:c>
      <x:c r="C12" s="21" t="str">
        <x:v>板块、客户/平台、账龄、品牌</x:v>
      </x:c>
      <x:c r="D12" s="21" t="str">
        <x:v>收入、毛利、费用、现金、应收应付、逾期、返利预计/确认/到账</x:v>
      </x:c>
      <x:c r="E12" s="21" t="str">
        <x:v>周/月</x:v>
      </x:c>
      <x:c r="F12" s="21" t="str">
        <x:v>财务系统/台账</x:v>
      </x:c>
      <x:c r="G12" s="21" t="str">
        <x:v>利润与现金质量</x:v>
      </x:c>
      <x:c r="H12" s="21" t="str">
        <x:v>财务摘要</x:v>
      </x:c>
      <x:c r="I12" s="21" t="str">
        <x:v>权限控制</x:v>
      </x:c>
    </x:row>
    <x:row r="13" ht="54" customHeight="1">
      <x:c r="A13" s="21" t="str">
        <x:v>A09</x:v>
      </x:c>
      <x:c r="B13" s="21" t="str">
        <x:v>营销活动与内容</x:v>
      </x:c>
      <x:c r="C13" s="21" t="str">
        <x:v>平台、活动、内容、门店</x:v>
      </x:c>
      <x:c r="D13" s="21" t="str">
        <x:v>预算、投入、归因销售、增量毛利、ROAS、发布、触达、互动、链接</x:v>
      </x:c>
      <x:c r="E13" s="21" t="str">
        <x:v>周/月</x:v>
      </x:c>
      <x:c r="F13" s="21" t="str">
        <x:v>平台/活动台账</x:v>
      </x:c>
      <x:c r="G13" s="21" t="str">
        <x:v>投入产出复盘</x:v>
      </x:c>
      <x:c r="H13" s="21" t="str">
        <x:v>营销效率</x:v>
      </x:c>
      <x:c r="I13" s="21" t="str">
        <x:v>日报仅异常</x:v>
      </x:c>
    </x:row>
    <x:row r="14" ht="54" customHeight="1">
      <x:c r="A14" s="21" t="str">
        <x:v>A10</x:v>
      </x:c>
      <x:c r="B14" s="21" t="str">
        <x:v>客户服务与履约</x:v>
      </x:c>
      <x:c r="C14" s="21" t="str">
        <x:v>板块、门店/渠道、问题类型</x:v>
      </x:c>
      <x:c r="D14" s="21" t="str">
        <x:v>退款退货、投诉、差评、履约、售后、重复问题、闭环时长</x:v>
      </x:c>
      <x:c r="E14" s="21" t="str">
        <x:v>日/周</x:v>
      </x:c>
      <x:c r="F14" s="21" t="str">
        <x:v>客服/售后台账</x:v>
      </x:c>
      <x:c r="G14" s="21" t="str">
        <x:v>体验整改</x:v>
      </x:c>
      <x:c r="H14" s="21" t="str">
        <x:v>风险/服务</x:v>
      </x:c>
      <x:c r="I14" s="21" t="str">
        <x:v>重大事件置顶</x:v>
      </x:c>
    </x:row>
    <x:row r="15" ht="54" customHeight="1">
      <x:c r="A15" s="21" t="str">
        <x:v>A11</x:v>
      </x:c>
      <x:c r="B15" s="21" t="str">
        <x:v>组织与人效</x:v>
      </x:c>
      <x:c r="C15" s="21" t="str">
        <x:v>部门、门店、岗位、人员</x:v>
      </x:c>
      <x:c r="D15" s="21" t="str">
        <x:v>编制、在岗、变动、缺编、人效、人均毛利、人工成本、培训认证</x:v>
      </x:c>
      <x:c r="E15" s="21" t="str">
        <x:v>周/月</x:v>
      </x:c>
      <x:c r="F15" s="21" t="str">
        <x:v>人事/财务</x:v>
      </x:c>
      <x:c r="G15" s="21" t="str">
        <x:v>组织效能</x:v>
      </x:c>
      <x:c r="H15" s="21" t="str">
        <x:v>管理数据</x:v>
      </x:c>
      <x:c r="I15" s="21" t="str">
        <x:v>普通考勤不进首页</x:v>
      </x:c>
    </x:row>
    <x:row r="16" ht="54" customHeight="1">
      <x:c r="A16" s="21" t="str">
        <x:v>A12</x:v>
      </x:c>
      <x:c r="B16" s="21" t="str">
        <x:v>重点事项与风险</x:v>
      </x:c>
      <x:c r="C16" s="21" t="str">
        <x:v>事项ID、板块、责任人、风险类型</x:v>
      </x:c>
      <x:c r="D16" s="21" t="str">
        <x:v>进度、时间进度、偏差、影响、措施、节点、决策、批复、验证</x:v>
      </x:c>
      <x:c r="E16" s="21" t="str">
        <x:v>实时/日</x:v>
      </x:c>
      <x:c r="F16" s="21" t="str">
        <x:v>统一台账</x:v>
      </x:c>
      <x:c r="G16" s="21" t="str">
        <x:v>闭环管理</x:v>
      </x:c>
      <x:c r="H16" s="21" t="str">
        <x:v>事项风控</x:v>
      </x:c>
      <x:c r="I16" s="21" t="str">
        <x:v>老板批复关联</x:v>
      </x:c>
    </x:row>
    <x:row r="17" ht="54" customHeight="1">
      <x:c r="A17" s="21" t="str">
        <x:v>A13</x:v>
      </x:c>
      <x:c r="B17" s="21" t="str">
        <x:v>数据质量与口径</x:v>
      </x:c>
      <x:c r="C17" s="21" t="str">
        <x:v>数据包、系统、责任部门</x:v>
      </x:c>
      <x:c r="D17" s="21" t="str">
        <x:v>更新时间、状态、缺失、差异、口径版本、修复时限</x:v>
      </x:c>
      <x:c r="E17" s="21" t="str">
        <x:v>每日</x:v>
      </x:c>
      <x:c r="F17" s="21" t="str">
        <x:v>报送记录/接口日志</x:v>
      </x:c>
      <x:c r="G17" s="21" t="str">
        <x:v>可信度控制</x:v>
      </x:c>
      <x:c r="H17" s="21" t="str">
        <x:v>简报底部</x:v>
      </x:c>
      <x:c r="I17" s="21" t="str">
        <x:v>固定展示</x:v>
      </x:c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30" hidden="0" customWidth="1"/>
    <x:col min="4" max="4" width="38" hidden="0" customWidth="1"/>
    <x:col min="5" max="5" width="58" hidden="0" customWidth="1"/>
    <x:col min="6" max="6" width="27" hidden="0" customWidth="1"/>
    <x:col min="7" max="7" width="16" hidden="0" customWidth="1"/>
    <x:col min="8" max="8" width="20" hidden="0" customWidth="1"/>
  </x:cols>
  <x:sheetData>
    <x:row r="1" ht="34" customHeight="1">
      <x:c r="A1" s="6" t="str">
        <x:v>HTML内容完整性校验</x:v>
      </x:c>
      <x:c r="B1" s="6"/>
      <x:c r="C1" s="6"/>
      <x:c r="D1" s="6"/>
      <x:c r="E1" s="6"/>
      <x:c r="F1" s="6"/>
      <x:c r="G1" s="6"/>
      <x:c r="H1" s="6"/>
    </x:row>
    <x:row r="2" ht="24" customHeight="1">
      <x:c r="A2" s="9" t="str">
        <x:v>以HTML的54个三级节点为不可删减基线，自动检查最终Excel是否完整承接</x:v>
      </x:c>
      <x:c r="B2" s="9"/>
      <x:c r="C2" s="9"/>
      <x:c r="D2" s="9"/>
      <x:c r="E2" s="9"/>
      <x:c r="F2" s="9"/>
      <x:c r="G2" s="9"/>
      <x:c r="H2" s="9"/>
    </x:row>
    <x:row r="3" ht="30" customHeight="1">
      <x:c r="A3" s="18" t="str">
        <x:v>MODEL STATUS</x:v>
      </x:c>
      <x:c r="B3" s="18" t="str">
        <x:f>IF(COUNTIF(G5:G58,"缺失")=0,"PASS","FAIL")</x:f>
        <x:v>PASS</x:v>
      </x:c>
      <x:c r="C3" s="18" t="str">
        <x:v>HTML节点</x:v>
      </x:c>
      <x:c r="D3" s="18" t="n">
        <x:v>54</x:v>
      </x:c>
      <x:c r="E3" s="18" t="str">
        <x:v>通过节点</x:v>
      </x:c>
      <x:c r="F3" s="18" t="n">
        <x:f>COUNTIF(G5:G58,"通过")</x:f>
        <x:v>54</x:v>
      </x:c>
      <x:c r="G3" s="18" t="str">
        <x:v>覆盖率</x:v>
      </x:c>
      <x:c r="H3" s="81" t="n">
        <x:f>F3/D3</x:f>
        <x:v>1</x:v>
      </x:c>
    </x:row>
    <x:row r="4" ht="30" customHeight="1">
      <x:c r="A4" s="18" t="str">
        <x:v>框架ID</x:v>
      </x:c>
      <x:c r="B4" s="18" t="str">
        <x:v>一级层</x:v>
      </x:c>
      <x:c r="C4" s="18" t="str">
        <x:v>二级模块</x:v>
      </x:c>
      <x:c r="D4" s="18" t="str">
        <x:v>管理节点</x:v>
      </x:c>
      <x:c r="E4" s="18" t="str">
        <x:v>关键原文</x:v>
      </x:c>
      <x:c r="F4" s="18" t="str">
        <x:v>Excel映射</x:v>
      </x:c>
      <x:c r="G4" s="18" t="str">
        <x:v>校验结果</x:v>
      </x:c>
      <x:c r="H4" s="18" t="str">
        <x:v>说明</x:v>
      </x:c>
    </x:row>
    <x:row r="5" ht="46" customHeight="1">
      <x:c r="A5" s="21" t="str">
        <x:v>H1.1.1</x:v>
      </x:c>
      <x:c r="B5" s="21" t="str">
        <x:v>① 经营数据看板 · 公司经营结果</x:v>
      </x:c>
      <x:c r="C5" s="21" t="str">
        <x:v>老板一屏摘要</x:v>
      </x:c>
      <x:c r="D5" s="21" t="str">
        <x:v>经营结论</x:v>
      </x:c>
      <x:c r="E5" s="21" t="str">
        <x:v>销售/毛利/目标进度/最大贡献板块/最大拖累因素 · 亮点异常各≤3项</x:v>
      </x:c>
      <x:c r="F5" s="21" t="str">
        <x:v>1-全景框架明细!E5</x:v>
      </x:c>
      <x:c r="G5" s="21" t="str">
        <x:f>IF(COUNTIF('1-全景框架明细'!$E$5:$E$100,D5)&gt;0,"通过","缺失")</x:f>
        <x:v>通过</x:v>
      </x:c>
      <x:c r="H5" s="21" t="str">
        <x:v>HTML主骨架</x:v>
      </x:c>
    </x:row>
    <x:row r="6" ht="46" customHeight="1">
      <x:c r="A6" s="21" t="str">
        <x:v>H1.1.2</x:v>
      </x:c>
      <x:c r="B6" s="21" t="str">
        <x:v>① 经营数据看板 · 公司经营结果</x:v>
      </x:c>
      <x:c r="C6" s="21" t="str">
        <x:v>老板一屏摘要</x:v>
      </x:c>
      <x:c r="D6" s="21" t="str">
        <x:v>需老板决策</x:v>
      </x:c>
      <x:c r="E6" s="21" t="str">
        <x:v>事项/影响金额/方案A·B/责任人/最晚批复时间</x:v>
      </x:c>
      <x:c r="F6" s="21" t="str">
        <x:v>1-全景框架明细!E6</x:v>
      </x:c>
      <x:c r="G6" s="21" t="str">
        <x:f>IF(COUNTIF('1-全景框架明细'!$E$5:$E$100,D6)&gt;0,"通过","缺失")</x:f>
        <x:v>通过</x:v>
      </x:c>
      <x:c r="H6" s="21" t="str">
        <x:v>HTML主骨架</x:v>
      </x:c>
    </x:row>
    <x:row r="7" ht="46" customHeight="1">
      <x:c r="A7" s="21" t="str">
        <x:v>H1.1.3</x:v>
      </x:c>
      <x:c r="B7" s="21" t="str">
        <x:v>① 经营数据看板 · 公司经营结果</x:v>
      </x:c>
      <x:c r="C7" s="21" t="str">
        <x:v>老板一屏摘要</x:v>
      </x:c>
      <x:c r="D7" s="21" t="str">
        <x:v>重大异常</x:v>
      </x:c>
      <x:c r="E7" s="21" t="str">
        <x:v>红色风险/重大客诉舆情/平台处罚/资金数据异常；无则明示"无"</x:v>
      </x:c>
      <x:c r="F7" s="21" t="str">
        <x:v>1-全景框架明细!E7</x:v>
      </x:c>
      <x:c r="G7" s="21" t="str">
        <x:f>IF(COUNTIF('1-全景框架明细'!$E$5:$E$100,D7)&gt;0,"通过","缺失")</x:f>
        <x:v>通过</x:v>
      </x:c>
      <x:c r="H7" s="21" t="str">
        <x:v>HTML主骨架</x:v>
      </x:c>
    </x:row>
    <x:row r="8" ht="46" customHeight="1">
      <x:c r="A8" s="21" t="str">
        <x:v>H1.2.1</x:v>
      </x:c>
      <x:c r="B8" s="21" t="str">
        <x:v>① 经营数据看板 · 公司经营结果</x:v>
      </x:c>
      <x:c r="C8" s="21" t="str">
        <x:v>核心指标（日/周/月分层）</x:v>
      </x:c>
      <x:c r="D8" s="21" t="str">
        <x:v>实销收入 · 毛利额 · 毛利率 · 贡献毛利</x:v>
      </x:c>
      <x:c r="E8" s="21" t="str">
        <x:v>含税口径统一；补贴/返利计入规则确认；贡献毛利=毛利-可归属变动费用</x:v>
      </x:c>
      <x:c r="F8" s="21" t="str">
        <x:v>1-全景框架明细!E8</x:v>
      </x:c>
      <x:c r="G8" s="21" t="str">
        <x:f>IF(COUNTIF('1-全景框架明细'!$E$5:$E$100,D8)&gt;0,"通过","缺失")</x:f>
        <x:v>通过</x:v>
      </x:c>
      <x:c r="H8" s="21" t="str">
        <x:v>HTML主骨架</x:v>
      </x:c>
    </x:row>
    <x:row r="9" ht="46" customHeight="1">
      <x:c r="A9" s="21" t="str">
        <x:v>H1.2.2</x:v>
      </x:c>
      <x:c r="B9" s="21" t="str">
        <x:v>① 经营数据看板 · 公司经营结果</x:v>
      </x:c>
      <x:c r="C9" s="21" t="str">
        <x:v>核心指标（日/周/月分层）</x:v>
      </x:c>
      <x:c r="D9" s="21" t="str">
        <x:v>目标达成率 · 时间进度 · 月末滚动预测</x:v>
      </x:c>
      <x:c r="E9" s="21" t="str">
        <x:v>实际/目标/去年/上周并列；偏差按金额和百分点解释</x:v>
      </x:c>
      <x:c r="F9" s="21" t="str">
        <x:v>1-全景框架明细!E9</x:v>
      </x:c>
      <x:c r="G9" s="21" t="str">
        <x:f>IF(COUNTIF('1-全景框架明细'!$E$5:$E$100,D9)&gt;0,"通过","缺失")</x:f>
        <x:v>通过</x:v>
      </x:c>
      <x:c r="H9" s="21" t="str">
        <x:v>HTML主骨架</x:v>
      </x:c>
    </x:row>
    <x:row r="10" ht="46" customHeight="1">
      <x:c r="A10" s="21" t="str">
        <x:v>H1.2.3</x:v>
      </x:c>
      <x:c r="B10" s="21" t="str">
        <x:v>① 经营数据看板 · 公司经营结果</x:v>
      </x:c>
      <x:c r="C10" s="21" t="str">
        <x:v>核心指标（日/周/月分层）</x:v>
      </x:c>
      <x:c r="D10" s="21" t="str">
        <x:v>客流×转化×客单（APR）/ UV×转化×客单（电商）</x:v>
      </x:c>
      <x:c r="E10" s="21" t="str">
        <x:v>用可解释驱动替代单纯环比；价格/销量/结构影响</x:v>
      </x:c>
      <x:c r="F10" s="21" t="str">
        <x:v>1-全景框架明细!E10</x:v>
      </x:c>
      <x:c r="G10" s="21" t="str">
        <x:f>IF(COUNTIF('1-全景框架明细'!$E$5:$E$100,D10)&gt;0,"通过","缺失")</x:f>
        <x:v>通过</x:v>
      </x:c>
      <x:c r="H10" s="21" t="str">
        <x:v>HTML主骨架</x:v>
      </x:c>
    </x:row>
    <x:row r="11" ht="46" customHeight="1">
      <x:c r="A11" s="21" t="str">
        <x:v>H1.2.4</x:v>
      </x:c>
      <x:c r="B11" s="21" t="str">
        <x:v>① 经营数据看板 · 公司经营结果</x:v>
      </x:c>
      <x:c r="C11" s="21" t="str">
        <x:v>核心指标（日/周/月分层）</x:v>
      </x:c>
      <x:c r="D11" s="21" t="str">
        <x:v>APR门店 · Apple电商 · Shure电商 · 3PP/多渠道</x:v>
      </x:c>
      <x:c r="E11" s="21" t="str">
        <x:v>销售/毛利率/目标达成/增量贡献；公司合计与板块勾稽一致</x:v>
      </x:c>
      <x:c r="F11" s="21" t="str">
        <x:v>1-全景框架明细!E11</x:v>
      </x:c>
      <x:c r="G11" s="21" t="str">
        <x:f>IF(COUNTIF('1-全景框架明细'!$E$5:$E$100,D11)&gt;0,"通过","缺失")</x:f>
        <x:v>通过</x:v>
      </x:c>
      <x:c r="H11" s="21" t="str">
        <x:v>HTML主骨架</x:v>
      </x:c>
    </x:row>
    <x:row r="12" ht="46" customHeight="1">
      <x:c r="A12" s="21" t="str">
        <x:v>H1.3.1</x:v>
      </x:c>
      <x:c r="B12" s="21" t="str">
        <x:v>① 经营数据看板 · 公司经营结果</x:v>
      </x:c>
      <x:c r="C12" s="21" t="str">
        <x:v>日报看异常（D+1 08:30呈报）</x:v>
      </x:c>
      <x:c r="D12" s="21" t="str">
        <x:v>APR门店TOP3·末位 · 两渠道电商异常</x:v>
      </x:c>
      <x:c r="E12" s="21" t="str">
        <x:v>销售/完成率/毛利/客流/转化/客单/配件连带；点名店长给当日动作</x:v>
      </x:c>
      <x:c r="F12" s="21" t="str">
        <x:v>1-全景框架明细!E12</x:v>
      </x:c>
      <x:c r="G12" s="21" t="str">
        <x:f>IF(COUNTIF('1-全景框架明细'!$E$5:$E$100,D12)&gt;0,"通过","缺失")</x:f>
        <x:v>通过</x:v>
      </x:c>
      <x:c r="H12" s="21" t="str">
        <x:v>HTML主骨架</x:v>
      </x:c>
    </x:row>
    <x:row r="13" ht="46" customHeight="1">
      <x:c r="A13" s="21" t="str">
        <x:v>H1.3.2</x:v>
      </x:c>
      <x:c r="B13" s="21" t="str">
        <x:v>① 经营数据看板 · 公司经营结果</x:v>
      </x:c>
      <x:c r="C13" s="21" t="str">
        <x:v>日报看异常（D+1 08:30呈报）</x:v>
      </x:c>
      <x:c r="D13" s="21" t="str">
        <x:v>库存健康 · 资金应收</x:v>
      </x:c>
      <x:c r="E13" s="21" t="str">
        <x:v>90天+/180天+/周转/缺货；逾期应收/预计回款/账实差异</x:v>
      </x:c>
      <x:c r="F13" s="21" t="str">
        <x:v>1-全景框架明细!E13</x:v>
      </x:c>
      <x:c r="G13" s="21" t="str">
        <x:f>IF(COUNTIF('1-全景框架明细'!$E$5:$E$100,D13)&gt;0,"通过","缺失")</x:f>
        <x:v>通过</x:v>
      </x:c>
      <x:c r="H13" s="21" t="str">
        <x:v>HTML主骨架</x:v>
      </x:c>
    </x:row>
    <x:row r="14" ht="46" customHeight="1">
      <x:c r="A14" s="21" t="str">
        <x:v>H1.3.3</x:v>
      </x:c>
      <x:c r="B14" s="21" t="str">
        <x:v>① 经营数据看板 · 公司经营结果</x:v>
      </x:c>
      <x:c r="C14" s="21" t="str">
        <x:v>日报看异常（D+1 08:30呈报）</x:v>
      </x:c>
      <x:c r="D14" s="21" t="str">
        <x:v>重点任务 · 组织异常 · 数据质量</x:v>
      </x:c>
      <x:c r="E14" s="21" t="str">
        <x:v>只报影响经营的例外；关键数据标暂估/确认/缺失</x:v>
      </x:c>
      <x:c r="F14" s="21" t="str">
        <x:v>1-全景框架明细!E14</x:v>
      </x:c>
      <x:c r="G14" s="21" t="str">
        <x:f>IF(COUNTIF('1-全景框架明细'!$E$5:$E$100,D14)&gt;0,"通过","缺失")</x:f>
        <x:v>通过</x:v>
      </x:c>
      <x:c r="H14" s="21" t="str">
        <x:v>HTML主骨架</x:v>
      </x:c>
    </x:row>
    <x:row r="15" ht="46" customHeight="1">
      <x:c r="A15" s="21" t="str">
        <x:v>H1.4.1</x:v>
      </x:c>
      <x:c r="B15" s="21" t="str">
        <x:v>① 经营数据看板 · 公司经营结果</x:v>
      </x:c>
      <x:c r="C15" s="21" t="str">
        <x:v>周报看趋势 · 月报看全景</x:v>
      </x:c>
      <x:c r="D15" s="21" t="str">
        <x:v>收入利润趋势 · 增长驱动拆解 · 板块排名</x:v>
      </x:c>
      <x:c r="E15" s="21" t="str">
        <x:v>周一10:00呈报；费用与营销效率/库存营运资金/客户服务/重点事项闭环/下周部署</x:v>
      </x:c>
      <x:c r="F15" s="21" t="str">
        <x:v>1-全景框架明细!E15</x:v>
      </x:c>
      <x:c r="G15" s="21" t="str">
        <x:f>IF(COUNTIF('1-全景框架明细'!$E$5:$E$100,D15)&gt;0,"通过","缺失")</x:f>
        <x:v>通过</x:v>
      </x:c>
      <x:c r="H15" s="21" t="str">
        <x:v>HTML主骨架</x:v>
      </x:c>
    </x:row>
    <x:row r="16" ht="46" customHeight="1">
      <x:c r="A16" s="21" t="str">
        <x:v>H1.4.2</x:v>
      </x:c>
      <x:c r="B16" s="21" t="str">
        <x:v>① 经营数据看板 · 公司经营结果</x:v>
      </x:c>
      <x:c r="C16" s="21" t="str">
        <x:v>周报看趋势 · 月报看全景</x:v>
      </x:c>
      <x:c r="D16" s="21" t="str">
        <x:v>完整损益 · 预算滚动预测 · 板块经营质量</x:v>
      </x:c>
      <x:c r="E16" s="21" t="str">
        <x:v>次月5日前；现金流/库存质量/应收返利/集中度/组织效能/战略项目/内控合规/管理承诺</x:v>
      </x:c>
      <x:c r="F16" s="21" t="str">
        <x:v>1-全景框架明细!E16</x:v>
      </x:c>
      <x:c r="G16" s="21" t="str">
        <x:f>IF(COUNTIF('1-全景框架明细'!$E$5:$E$100,D16)&gt;0,"通过","缺失")</x:f>
        <x:v>通过</x:v>
      </x:c>
      <x:c r="H16" s="21" t="str">
        <x:v>HTML主骨架</x:v>
      </x:c>
    </x:row>
    <x:row r="17" ht="46" customHeight="1">
      <x:c r="A17" s="21" t="str">
        <x:v>H2.1.1</x:v>
      </x:c>
      <x:c r="B17" s="21" t="str">
        <x:v>围绕业务流程：物 · 人 · 外部 · 合规</x:v>
      </x:c>
      <x:c r="C17" s="21" t="str">
        <x:v>商品与流程</x:v>
      </x:c>
      <x:c r="D17" s="21" t="str">
        <x:v>采购订单 → 商品规划 → 产品流转</x:v>
      </x:c>
      <x:c r="E17" s="21" t="str">
        <x:v>从采购到销售、中间流转流程按业务节点分清楚</x:v>
      </x:c>
      <x:c r="F17" s="21" t="str">
        <x:v>1-全景框架明细!E17</x:v>
      </x:c>
      <x:c r="G17" s="21" t="str">
        <x:f>IF(COUNTIF('1-全景框架明细'!$E$5:$E$100,D17)&gt;0,"通过","缺失")</x:f>
        <x:v>通过</x:v>
      </x:c>
      <x:c r="H17" s="21" t="str">
        <x:v>HTML主骨架</x:v>
      </x:c>
    </x:row>
    <x:row r="18" ht="46" customHeight="1">
      <x:c r="A18" s="21" t="str">
        <x:v>H2.1.2</x:v>
      </x:c>
      <x:c r="B18" s="21" t="str">
        <x:v>围绕业务流程：物 · 人 · 外部 · 合规</x:v>
      </x:c>
      <x:c r="C18" s="21" t="str">
        <x:v>商品与流程</x:v>
      </x:c>
      <x:c r="D18" s="21" t="str">
        <x:v>资金流转 · 结算管理</x:v>
      </x:c>
      <x:c r="E18" s="21" t="str">
        <x:v>收/支两条线：合理支出管理 + 非正常支出风险管理</x:v>
      </x:c>
      <x:c r="F18" s="21" t="str">
        <x:v>1-全景框架明细!E18</x:v>
      </x:c>
      <x:c r="G18" s="21" t="str">
        <x:f>IF(COUNTIF('1-全景框架明细'!$E$5:$E$100,D18)&gt;0,"通过","缺失")</x:f>
        <x:v>通过</x:v>
      </x:c>
      <x:c r="H18" s="21" t="str">
        <x:v>HTML主骨架</x:v>
      </x:c>
    </x:row>
    <x:row r="19" ht="46" customHeight="1">
      <x:c r="A19" s="21" t="str">
        <x:v>H2.1.3</x:v>
      </x:c>
      <x:c r="B19" s="21" t="str">
        <x:v>围绕业务流程：物 · 人 · 外部 · 合规</x:v>
      </x:c>
      <x:c r="C19" s="21" t="str">
        <x:v>商品与流程</x:v>
      </x:c>
      <x:c r="D19" s="21" t="str">
        <x:v>合同档案流转与归档</x:v>
      </x:c>
      <x:c r="E19" s="21" t="str">
        <x:v>合同节点、审批、归档可追溯</x:v>
      </x:c>
      <x:c r="F19" s="21" t="str">
        <x:v>1-全景框架明细!E19</x:v>
      </x:c>
      <x:c r="G19" s="21" t="str">
        <x:f>IF(COUNTIF('1-全景框架明细'!$E$5:$E$100,D19)&gt;0,"通过","缺失")</x:f>
        <x:v>通过</x:v>
      </x:c>
      <x:c r="H19" s="21" t="str">
        <x:v>HTML主骨架</x:v>
      </x:c>
    </x:row>
    <x:row r="20" ht="46" customHeight="1">
      <x:c r="A20" s="21" t="str">
        <x:v>H2.1.4</x:v>
      </x:c>
      <x:c r="B20" s="21" t="str">
        <x:v>围绕业务流程：物 · 人 · 外部 · 合规</x:v>
      </x:c>
      <x:c r="C20" s="21" t="str">
        <x:v>商品与流程</x:v>
      </x:c>
      <x:c r="D20" s="21" t="str">
        <x:v>拓店 · 升级装修 · 续约 · 新签</x:v>
      </x:c>
      <x:c r="E20" s="21" t="str">
        <x:v>每年都会遇到需执行的事项；门店生命周期管理</x:v>
      </x:c>
      <x:c r="F20" s="21" t="str">
        <x:v>1-全景框架明细!E20</x:v>
      </x:c>
      <x:c r="G20" s="21" t="str">
        <x:f>IF(COUNTIF('1-全景框架明细'!$E$5:$E$100,D20)&gt;0,"通过","缺失")</x:f>
        <x:v>通过</x:v>
      </x:c>
      <x:c r="H20" s="21" t="str">
        <x:v>HTML主骨架</x:v>
      </x:c>
    </x:row>
    <x:row r="21" ht="46" customHeight="1">
      <x:c r="A21" s="21" t="str">
        <x:v>H2.1.5</x:v>
      </x:c>
      <x:c r="B21" s="21" t="str">
        <x:v>围绕业务流程：物 · 人 · 外部 · 合规</x:v>
      </x:c>
      <x:c r="C21" s="21" t="str">
        <x:v>商品与流程</x:v>
      </x:c>
      <x:c r="D21" s="21" t="str">
        <x:v>库存管理 · 返利管理</x:v>
      </x:c>
      <x:c r="E21" s="21" t="str">
        <x:v>日常运营细化：库存周转、量级管理、物料管理、返利跟进</x:v>
      </x:c>
      <x:c r="F21" s="21" t="str">
        <x:v>1-全景框架明细!E21</x:v>
      </x:c>
      <x:c r="G21" s="21" t="str">
        <x:f>IF(COUNTIF('1-全景框架明细'!$E$5:$E$100,D21)&gt;0,"通过","缺失")</x:f>
        <x:v>通过</x:v>
      </x:c>
      <x:c r="H21" s="21" t="str">
        <x:v>HTML主骨架</x:v>
      </x:c>
    </x:row>
    <x:row r="22" ht="46" customHeight="1">
      <x:c r="A22" s="21" t="str">
        <x:v>H2.2.1</x:v>
      </x:c>
      <x:c r="B22" s="21" t="str">
        <x:v>围绕业务流程：物 · 人 · 外部 · 合规</x:v>
      </x:c>
      <x:c r="C22" s="21" t="str">
        <x:v>人员与组织</x:v>
      </x:c>
      <x:c r="D22" s="21" t="str">
        <x:v>人员规划 · 达标情况 · 缺编</x:v>
      </x:c>
      <x:c r="E22" s="21" t="str">
        <x:v>门店员工→店长→总部，每个岗位目标明确</x:v>
      </x:c>
      <x:c r="F22" s="21" t="str">
        <x:v>1-全景框架明细!E22</x:v>
      </x:c>
      <x:c r="G22" s="21" t="str">
        <x:f>IF(COUNTIF('1-全景框架明细'!$E$5:$E$100,D22)&gt;0,"通过","缺失")</x:f>
        <x:v>通过</x:v>
      </x:c>
      <x:c r="H22" s="21" t="str">
        <x:v>HTML主骨架</x:v>
      </x:c>
    </x:row>
    <x:row r="23" ht="46" customHeight="1">
      <x:c r="A23" s="21" t="str">
        <x:v>H2.2.2</x:v>
      </x:c>
      <x:c r="B23" s="21" t="str">
        <x:v>围绕业务流程：物 · 人 · 外部 · 合规</x:v>
      </x:c>
      <x:c r="C23" s="21" t="str">
        <x:v>人员与组织</x:v>
      </x:c>
      <x:c r="D23" s="21" t="str">
        <x:v>人员能力与岗位匹配度</x:v>
      </x:c>
      <x:c r="E23" s="21" t="str">
        <x:v>每个人的定位分析清楚，做团队建设与有效安排</x:v>
      </x:c>
      <x:c r="F23" s="21" t="str">
        <x:v>1-全景框架明细!E23</x:v>
      </x:c>
      <x:c r="G23" s="21" t="str">
        <x:f>IF(COUNTIF('1-全景框架明细'!$E$5:$E$100,D23)&gt;0,"通过","缺失")</x:f>
        <x:v>通过</x:v>
      </x:c>
      <x:c r="H23" s="21" t="str">
        <x:v>HTML主骨架</x:v>
      </x:c>
    </x:row>
    <x:row r="24" ht="46" customHeight="1">
      <x:c r="A24" s="21" t="str">
        <x:v>H2.2.3</x:v>
      </x:c>
      <x:c r="B24" s="21" t="str">
        <x:v>围绕业务流程：物 · 人 · 外部 · 合规</x:v>
      </x:c>
      <x:c r="C24" s="21" t="str">
        <x:v>人员与组织</x:v>
      </x:c>
      <x:c r="D24" s="21" t="str">
        <x:v>业绩概况 · 状态 · 人效/人均毛利</x:v>
      </x:c>
      <x:c r="E24" s="21" t="str">
        <x:v>优秀人员与一般人员差距巨大；人效口径一致</x:v>
      </x:c>
      <x:c r="F24" s="21" t="str">
        <x:v>1-全景框架明细!E24</x:v>
      </x:c>
      <x:c r="G24" s="21" t="str">
        <x:f>IF(COUNTIF('1-全景框架明细'!$E$5:$E$100,D24)&gt;0,"通过","缺失")</x:f>
        <x:v>通过</x:v>
      </x:c>
      <x:c r="H24" s="21" t="str">
        <x:v>HTML主骨架</x:v>
      </x:c>
    </x:row>
    <x:row r="25" ht="46" customHeight="1">
      <x:c r="A25" s="21" t="str">
        <x:v>H2.2.4</x:v>
      </x:c>
      <x:c r="B25" s="21" t="str">
        <x:v>围绕业务流程：物 · 人 · 外部 · 合规</x:v>
      </x:c>
      <x:c r="C25" s="21" t="str">
        <x:v>人员与组织</x:v>
      </x:c>
      <x:c r="D25" s="21" t="str">
        <x:v>招聘选择 → 培训 → 技能升级 → 内部竞赛</x:v>
      </x:c>
      <x:c r="E25" s="21" t="str">
        <x:v>新人/老人技能持续升级、自我学习</x:v>
      </x:c>
      <x:c r="F25" s="21" t="str">
        <x:v>1-全景框架明细!E25</x:v>
      </x:c>
      <x:c r="G25" s="21" t="str">
        <x:f>IF(COUNTIF('1-全景框架明细'!$E$5:$E$100,D25)&gt;0,"通过","缺失")</x:f>
        <x:v>通过</x:v>
      </x:c>
      <x:c r="H25" s="21" t="str">
        <x:v>HTML主骨架</x:v>
      </x:c>
    </x:row>
    <x:row r="26" ht="46" customHeight="1">
      <x:c r="A26" s="21" t="str">
        <x:v>H2.3.1</x:v>
      </x:c>
      <x:c r="B26" s="21" t="str">
        <x:v>围绕业务流程：物 · 人 · 外部 · 合规</x:v>
      </x:c>
      <x:c r="C26" s="21" t="str">
        <x:v>供应商 · 客户 · 营商环境</x:v>
      </x:c>
      <x:c r="D26" s="21" t="str">
        <x:v>供应商资源整合沟通</x:v>
      </x:c>
      <x:c r="E26" s="21" t="str">
        <x:v>苹果/总代供应商线（分货、厂商资源）</x:v>
      </x:c>
      <x:c r="F26" s="21" t="str">
        <x:v>1-全景框架明细!E26</x:v>
      </x:c>
      <x:c r="G26" s="21" t="str">
        <x:f>IF(COUNTIF('1-全景框架明细'!$E$5:$E$100,D26)&gt;0,"通过","缺失")</x:f>
        <x:v>通过</x:v>
      </x:c>
      <x:c r="H26" s="21" t="str">
        <x:v>HTML主骨架</x:v>
      </x:c>
    </x:row>
    <x:row r="27" ht="46" customHeight="1">
      <x:c r="A27" s="21" t="str">
        <x:v>H2.3.2</x:v>
      </x:c>
      <x:c r="B27" s="21" t="str">
        <x:v>围绕业务流程：物 · 人 · 外部 · 合规</x:v>
      </x:c>
      <x:c r="C27" s="21" t="str">
        <x:v>供应商 · 客户 · 营商环境</x:v>
      </x:c>
      <x:c r="D27" s="21" t="str">
        <x:v>客户单位与业务关系</x:v>
      </x:c>
      <x:c r="E27" s="21" t="str">
        <x:v>如上海等大客户；资源整合与沟通</x:v>
      </x:c>
      <x:c r="F27" s="21" t="str">
        <x:v>1-全景框架明细!E27</x:v>
      </x:c>
      <x:c r="G27" s="21" t="str">
        <x:f>IF(COUNTIF('1-全景框架明细'!$E$5:$E$100,D27)&gt;0,"通过","缺失")</x:f>
        <x:v>通过</x:v>
      </x:c>
      <x:c r="H27" s="21" t="str">
        <x:v>HTML主骨架</x:v>
      </x:c>
    </x:row>
    <x:row r="28" ht="46" customHeight="1">
      <x:c r="A28" s="21" t="str">
        <x:v>H2.3.3</x:v>
      </x:c>
      <x:c r="B28" s="21" t="str">
        <x:v>围绕业务流程：物 · 人 · 外部 · 合规</x:v>
      </x:c>
      <x:c r="C28" s="21" t="str">
        <x:v>供应商 · 客户 · 营商环境</x:v>
      </x:c>
      <x:c r="D28" s="21" t="str">
        <x:v>外围营商环境</x:v>
      </x:c>
      <x:c r="E28" s="21" t="str">
        <x:v>市场/商圈/竞品环境跟踪</x:v>
      </x:c>
      <x:c r="F28" s="21" t="str">
        <x:v>1-全景框架明细!E28</x:v>
      </x:c>
      <x:c r="G28" s="21" t="str">
        <x:f>IF(COUNTIF('1-全景框架明细'!$E$5:$E$100,D28)&gt;0,"通过","缺失")</x:f>
        <x:v>通过</x:v>
      </x:c>
      <x:c r="H28" s="21" t="str">
        <x:v>HTML主骨架</x:v>
      </x:c>
    </x:row>
    <x:row r="29" ht="46" customHeight="1">
      <x:c r="A29" s="21" t="str">
        <x:v>H2.4.1</x:v>
      </x:c>
      <x:c r="B29" s="21" t="str">
        <x:v>围绕业务流程：物 · 人 · 外部 · 合规</x:v>
      </x:c>
      <x:c r="C29" s="21" t="str">
        <x:v>内部合规流程</x:v>
      </x:c>
      <x:c r="D29" s="21" t="str">
        <x:v>考勤 · 制度执行</x:v>
      </x:c>
      <x:c r="E29" s="21" t="str">
        <x:v>从最基础开始回溯人员情况</x:v>
      </x:c>
      <x:c r="F29" s="21" t="str">
        <x:v>1-全景框架明细!E29</x:v>
      </x:c>
      <x:c r="G29" s="21" t="str">
        <x:f>IF(COUNTIF('1-全景框架明细'!$E$5:$E$100,D29)&gt;0,"通过","缺失")</x:f>
        <x:v>通过</x:v>
      </x:c>
      <x:c r="H29" s="21" t="str">
        <x:v>HTML主骨架</x:v>
      </x:c>
    </x:row>
    <x:row r="30" ht="46" customHeight="1">
      <x:c r="A30" s="21" t="str">
        <x:v>H2.4.2</x:v>
      </x:c>
      <x:c r="B30" s="21" t="str">
        <x:v>围绕业务流程：物 · 人 · 外部 · 合规</x:v>
      </x:c>
      <x:c r="C30" s="21" t="str">
        <x:v>内部合规流程</x:v>
      </x:c>
      <x:c r="D30" s="21" t="str">
        <x:v>负毛利/低价订单 · 越权审批 · 盘点差异</x:v>
      </x:c>
      <x:c r="E30" s="21" t="str">
        <x:v>按制度阈值和授权清单判断，证据优先</x:v>
      </x:c>
      <x:c r="F30" s="21" t="str">
        <x:v>1-全景框架明细!E30</x:v>
      </x:c>
      <x:c r="G30" s="21" t="str">
        <x:f>IF(COUNTIF('1-全景框架明细'!$E$5:$E$100,D30)&gt;0,"通过","缺失")</x:f>
        <x:v>通过</x:v>
      </x:c>
      <x:c r="H30" s="21" t="str">
        <x:v>HTML主骨架</x:v>
      </x:c>
    </x:row>
    <x:row r="31" ht="62" customHeight="1">
      <x:c r="A31" s="21" t="str">
        <x:v>H3.1.1</x:v>
      </x:c>
      <x:c r="B31" s="21" t="str">
        <x:v>单独列出 · 落实跟进 · 对应决策</x:v>
      </x:c>
      <x:c r="C31" s="21" t="str">
        <x:v>苹果产品 · 线下三大重点</x:v>
      </x:c>
      <x:c r="D31" s="21" t="str">
        <x:v>开优质店铺（业务第一位）</x:v>
      </x:c>
      <x:c r="E31" s="21" t="str">
        <x:v>一年1个=进步，一季1个=很好，一月1个=很牛；好店5-10年=未来几个亿生意=5个岗位10年工作机会；标准：单店年均3000万（达均值即优秀），月销100万=有钱挣；现有前4家仅略高于大盘均值</x:v>
      </x:c>
      <x:c r="F31" s="21" t="str">
        <x:v>1-全景框架明细!E31</x:v>
      </x:c>
      <x:c r="G31" s="21" t="str">
        <x:f>IF(COUNTIF('1-全景框架明细'!$E$5:$E$100,D31)&gt;0,"通过","缺失")</x:f>
        <x:v>通过</x:v>
      </x:c>
      <x:c r="H31" s="21" t="str">
        <x:v>HTML主骨架</x:v>
      </x:c>
    </x:row>
    <x:row r="32" ht="46" customHeight="1">
      <x:c r="A32" s="21" t="str">
        <x:v>H3.1.2</x:v>
      </x:c>
      <x:c r="B32" s="21" t="str">
        <x:v>单独列出 · 落实跟进 · 对应决策</x:v>
      </x:c>
      <x:c r="C32" s="21" t="str">
        <x:v>苹果产品 · 线下三大重点</x:v>
      </x:c>
      <x:c r="D32" s="21" t="str">
        <x:v>分货 · 厂商资源沟通</x:v>
      </x:c>
      <x:c r="E32" s="21" t="str">
        <x:v>苹果+总代供应商线为核心；找店+找产品两条线；资源分配最重要</x:v>
      </x:c>
      <x:c r="F32" s="21" t="str">
        <x:v>1-全景框架明细!E32</x:v>
      </x:c>
      <x:c r="G32" s="21" t="str">
        <x:f>IF(COUNTIF('1-全景框架明细'!$E$5:$E$100,D32)&gt;0,"通过","缺失")</x:f>
        <x:v>通过</x:v>
      </x:c>
      <x:c r="H32" s="21" t="str">
        <x:v>HTML主骨架</x:v>
      </x:c>
    </x:row>
    <x:row r="33" ht="46" customHeight="1">
      <x:c r="A33" s="21" t="str">
        <x:v>H3.1.3</x:v>
      </x:c>
      <x:c r="B33" s="21" t="str">
        <x:v>单独列出 · 落实跟进 · 对应决策</x:v>
      </x:c>
      <x:c r="C33" s="21" t="str">
        <x:v>苹果产品 · 线下三大重点</x:v>
      </x:c>
      <x:c r="D33" s="21" t="str">
        <x:v>人员工作效率</x:v>
      </x:c>
      <x:c r="E33" s="21" t="str">
        <x:v>优秀vs一般人员差距巨大（收入差30%+）；招聘选择→培训→技能升级→内部竞赛</x:v>
      </x:c>
      <x:c r="F33" s="21" t="str">
        <x:v>1-全景框架明细!E33</x:v>
      </x:c>
      <x:c r="G33" s="21" t="str">
        <x:f>IF(COUNTIF('1-全景框架明细'!$E$5:$E$100,D33)&gt;0,"通过","缺失")</x:f>
        <x:v>通过</x:v>
      </x:c>
      <x:c r="H33" s="21" t="str">
        <x:v>HTML主骨架</x:v>
      </x:c>
    </x:row>
    <x:row r="34" ht="46" customHeight="1">
      <x:c r="A34" s="21" t="str">
        <x:v>H3.2.1</x:v>
      </x:c>
      <x:c r="B34" s="21" t="str">
        <x:v>单独列出 · 落实跟进 · 对应决策</x:v>
      </x:c>
      <x:c r="C34" s="21" t="str">
        <x:v>3001设备产品线</x:v>
      </x:c>
      <x:c r="D34" s="21" t="str">
        <x:v>从采购到销售 · 营销推广</x:v>
      </x:c>
      <x:c r="E34" s="21" t="str">
        <x:v>周周推荐产品线；按产品/品牌/项目跟踪</x:v>
      </x:c>
      <x:c r="F34" s="21" t="str">
        <x:v>1-全景框架明细!E34</x:v>
      </x:c>
      <x:c r="G34" s="21" t="str">
        <x:f>IF(COUNTIF('1-全景框架明细'!$E$5:$E$100,D34)&gt;0,"通过","缺失")</x:f>
        <x:v>通过</x:v>
      </x:c>
      <x:c r="H34" s="21" t="str">
        <x:v>HTML主骨架</x:v>
      </x:c>
    </x:row>
    <x:row r="35" ht="46" customHeight="1">
      <x:c r="A35" s="21" t="str">
        <x:v>H3.3.1</x:v>
      </x:c>
      <x:c r="B35" s="21" t="str">
        <x:v>单独列出 · 落实跟进 · 对应决策</x:v>
      </x:c>
      <x:c r="C35" s="21" t="str">
        <x:v>重点事项台账</x:v>
      </x:c>
      <x:c r="D35" s="21" t="str">
        <x:v>唯一ID · 原截止日不覆盖 · 关闭有验证证据</x:v>
      </x:c>
      <x:c r="E35" s="21" t="str">
        <x:v>进度落后时间进度10pp关注、20pp或逾期预警；未完成滚入下周</x:v>
      </x:c>
      <x:c r="F35" s="21" t="str">
        <x:v>1-全景框架明细!E35</x:v>
      </x:c>
      <x:c r="G35" s="21" t="str">
        <x:f>IF(COUNTIF('1-全景框架明细'!$E$5:$E$100,D35)&gt;0,"通过","缺失")</x:f>
        <x:v>通过</x:v>
      </x:c>
      <x:c r="H35" s="21" t="str">
        <x:v>HTML主骨架</x:v>
      </x:c>
    </x:row>
    <x:row r="36" ht="46" customHeight="1">
      <x:c r="A36" s="21" t="str">
        <x:v>H3.3.2</x:v>
      </x:c>
      <x:c r="B36" s="21" t="str">
        <x:v>单独列出 · 落实跟进 · 对应决策</x:v>
      </x:c>
      <x:c r="C36" s="21" t="str">
        <x:v>重点事项台账</x:v>
      </x:c>
      <x:c r="D36" s="21" t="str">
        <x:v>老板批复 → 执行 → 验证结果</x:v>
      </x:c>
      <x:c r="E36" s="21" t="str">
        <x:v>批复必须关联事项ID；未确认或逾期自动升级</x:v>
      </x:c>
      <x:c r="F36" s="21" t="str">
        <x:v>1-全景框架明细!E36</x:v>
      </x:c>
      <x:c r="G36" s="21" t="str">
        <x:f>IF(COUNTIF('1-全景框架明细'!$E$5:$E$100,D36)&gt;0,"通过","缺失")</x:f>
        <x:v>通过</x:v>
      </x:c>
      <x:c r="H36" s="21" t="str">
        <x:v>HTML主骨架</x:v>
      </x:c>
    </x:row>
    <x:row r="37" ht="46" customHeight="1">
      <x:c r="A37" s="21" t="str">
        <x:v>H4.1.1</x:v>
      </x:c>
      <x:c r="B37" s="21" t="str">
        <x:v>线上线下整体运转风控点</x:v>
      </x:c>
      <x:c r="C37" s="21" t="str">
        <x:v>六大风控点</x:v>
      </x:c>
      <x:c r="D37" s="21" t="str">
        <x:v>资金风控 · 异常退款 · 账实差异</x:v>
      </x:c>
      <x:c r="E37" s="21" t="str">
        <x:v>单笔/当日累计超阈值即核查；冻结-核对-升级</x:v>
      </x:c>
      <x:c r="F37" s="21" t="str">
        <x:v>1-全景框架明细!E37</x:v>
      </x:c>
      <x:c r="G37" s="21" t="str">
        <x:f>IF(COUNTIF('1-全景框架明细'!$E$5:$E$100,D37)&gt;0,"通过","缺失")</x:f>
        <x:v>通过</x:v>
      </x:c>
      <x:c r="H37" s="21" t="str">
        <x:v>HTML主骨架</x:v>
      </x:c>
    </x:row>
    <x:row r="38" ht="46" customHeight="1">
      <x:c r="A38" s="21" t="str">
        <x:v>H4.1.2</x:v>
      </x:c>
      <x:c r="B38" s="21" t="str">
        <x:v>线上线下整体运转风控点</x:v>
      </x:c>
      <x:c r="C38" s="21" t="str">
        <x:v>六大风控点</x:v>
      </x:c>
      <x:c r="D38" s="21" t="str">
        <x:v>客户关系风控</x:v>
      </x:c>
      <x:c r="E38" s="21" t="str">
        <x:v>重大投诉/舆情/平台处罚即时上报</x:v>
      </x:c>
      <x:c r="F38" s="21" t="str">
        <x:v>1-全景框架明细!E38</x:v>
      </x:c>
      <x:c r="G38" s="21" t="str">
        <x:f>IF(COUNTIF('1-全景框架明细'!$E$5:$E$100,D38)&gt;0,"通过","缺失")</x:f>
        <x:v>通过</x:v>
      </x:c>
      <x:c r="H38" s="21" t="str">
        <x:v>HTML主骨架</x:v>
      </x:c>
    </x:row>
    <x:row r="39" ht="46" customHeight="1">
      <x:c r="A39" s="21" t="str">
        <x:v>H4.1.3</x:v>
      </x:c>
      <x:c r="B39" s="21" t="str">
        <x:v>线上线下整体运转风控点</x:v>
      </x:c>
      <x:c r="C39" s="21" t="str">
        <x:v>六大风控点</x:v>
      </x:c>
      <x:c r="D39" s="21" t="str">
        <x:v>物品定价风控</x:v>
      </x:c>
      <x:c r="E39" s="21" t="str">
        <x:v>负毛利订单/异常优惠/价格越权</x:v>
      </x:c>
      <x:c r="F39" s="21" t="str">
        <x:v>1-全景框架明细!E39</x:v>
      </x:c>
      <x:c r="G39" s="21" t="str">
        <x:f>IF(COUNTIF('1-全景框架明细'!$E$5:$E$100,D39)&gt;0,"通过","缺失")</x:f>
        <x:v>通过</x:v>
      </x:c>
      <x:c r="H39" s="21" t="str">
        <x:v>HTML主骨架</x:v>
      </x:c>
    </x:row>
    <x:row r="40" ht="46" customHeight="1">
      <x:c r="A40" s="21" t="str">
        <x:v>H4.1.4</x:v>
      </x:c>
      <x:c r="B40" s="21" t="str">
        <x:v>线上线下整体运转风控点</x:v>
      </x:c>
      <x:c r="C40" s="21" t="str">
        <x:v>六大风控点</x:v>
      </x:c>
      <x:c r="D40" s="21" t="str">
        <x:v>营销风控</x:v>
      </x:c>
      <x:c r="E40" s="21" t="str">
        <x:v>投放ROAS/贡献毛利异常即停调</x:v>
      </x:c>
      <x:c r="F40" s="21" t="str">
        <x:v>1-全景框架明细!E40</x:v>
      </x:c>
      <x:c r="G40" s="21" t="str">
        <x:f>IF(COUNTIF('1-全景框架明细'!$E$5:$E$100,D40)&gt;0,"通过","缺失")</x:f>
        <x:v>通过</x:v>
      </x:c>
      <x:c r="H40" s="21" t="str">
        <x:v>HTML主骨架</x:v>
      </x:c>
    </x:row>
    <x:row r="41" ht="46" customHeight="1">
      <x:c r="A41" s="21" t="str">
        <x:v>H4.1.5</x:v>
      </x:c>
      <x:c r="B41" s="21" t="str">
        <x:v>线上线下整体运转风控点</x:v>
      </x:c>
      <x:c r="C41" s="21" t="str">
        <x:v>六大风控点</x:v>
      </x:c>
      <x:c r="D41" s="21" t="str">
        <x:v>收银结算风控</x:v>
      </x:c>
      <x:c r="E41" s="21" t="str">
        <x:v>输赢管理/非单管理/结算管理</x:v>
      </x:c>
      <x:c r="F41" s="21" t="str">
        <x:v>1-全景框架明细!E41</x:v>
      </x:c>
      <x:c r="G41" s="21" t="str">
        <x:f>IF(COUNTIF('1-全景框架明细'!$E$5:$E$100,D41)&gt;0,"通过","缺失")</x:f>
        <x:v>通过</x:v>
      </x:c>
      <x:c r="H41" s="21" t="str">
        <x:v>HTML主骨架</x:v>
      </x:c>
    </x:row>
    <x:row r="42" ht="46" customHeight="1">
      <x:c r="A42" s="21" t="str">
        <x:v>H4.1.6</x:v>
      </x:c>
      <x:c r="B42" s="21" t="str">
        <x:v>线上线下整体运转风控点</x:v>
      </x:c>
      <x:c r="C42" s="21" t="str">
        <x:v>六大风控点</x:v>
      </x:c>
      <x:c r="D42" s="21" t="str">
        <x:v>合同/采购/付款越权</x:v>
      </x:c>
      <x:c r="E42" s="21" t="str">
        <x:v>未经授权执行、重大合同风险、疑似舞弊</x:v>
      </x:c>
      <x:c r="F42" s="21" t="str">
        <x:v>1-全景框架明细!E42</x:v>
      </x:c>
      <x:c r="G42" s="21" t="str">
        <x:f>IF(COUNTIF('1-全景框架明细'!$E$5:$E$100,D42)&gt;0,"通过","缺失")</x:f>
        <x:v>通过</x:v>
      </x:c>
      <x:c r="H42" s="21" t="str">
        <x:v>HTML主骨架</x:v>
      </x:c>
    </x:row>
    <x:row r="43" ht="46" customHeight="1">
      <x:c r="A43" s="21" t="str">
        <x:v>H4.2.1</x:v>
      </x:c>
      <x:c r="B43" s="21" t="str">
        <x:v>线上线下整体运转风控点</x:v>
      </x:c>
      <x:c r="C43" s="21" t="str">
        <x:v>红黄规则 · 升级路径</x:v>
      </x:c>
      <x:c r="D43" s="21" t="str">
        <x:v>落后进度5-10pp · 下降10-20% · 逾期1-30天</x:v>
      </x:c>
      <x:c r="E43" s="21" t="str">
        <x:v>责任人提交差额/原因/追赶动作</x:v>
      </x:c>
      <x:c r="F43" s="21" t="str">
        <x:v>1-全景框架明细!E43</x:v>
      </x:c>
      <x:c r="G43" s="21" t="str">
        <x:f>IF(COUNTIF('1-全景框架明细'!$E$5:$E$100,D43)&gt;0,"通过","缺失")</x:f>
        <x:v>通过</x:v>
      </x:c>
      <x:c r="H43" s="21" t="str">
        <x:v>HTML主骨架</x:v>
      </x:c>
    </x:row>
    <x:row r="44" ht="46" customHeight="1">
      <x:c r="A44" s="21" t="str">
        <x:v>H4.2.2</x:v>
      </x:c>
      <x:c r="B44" s="21" t="str">
        <x:v>线上线下整体运转风控点</x:v>
      </x:c>
      <x:c r="C44" s="21" t="str">
        <x:v>红黄规则 · 升级路径</x:v>
      </x:c>
      <x:c r="D44" s="21" t="str">
        <x:v>落后&gt;10pp · 下滑&gt;20% · 逾期&gt;30/60天 · 处罚/舆情</x:v>
      </x:c>
      <x:c r="E44" s="21" t="str">
        <x:v>即时上报、统一口径、明确处理人与时限；事件触发不受金额限制</x:v>
      </x:c>
      <x:c r="F44" s="21" t="str">
        <x:v>1-全景框架明细!E44</x:v>
      </x:c>
      <x:c r="G44" s="21" t="str">
        <x:f>IF(COUNTIF('1-全景框架明细'!$E$5:$E$100,D44)&gt;0,"通过","缺失")</x:f>
        <x:v>通过</x:v>
      </x:c>
      <x:c r="H44" s="21" t="str">
        <x:v>HTML主骨架</x:v>
      </x:c>
    </x:row>
    <x:row r="45" ht="46" customHeight="1">
      <x:c r="A45" s="21" t="str">
        <x:v>H5.1.1</x:v>
      </x:c>
      <x:c r="B45" s="21" t="str">
        <x:v>AI智能体体系 · 全员AI革命</x:v>
      </x:c>
      <x:c r="C45" s="21" t="str">
        <x:v>围绕工作的智能体</x:v>
      </x:c>
      <x:c r="D45" s="21" t="str">
        <x:v>经营管理智能体（公司大智能体）</x:v>
      </x:c>
      <x:c r="E45" s="21" t="str">
        <x:v>管理各岗位智能体；数据细分用于重点事项沟通</x:v>
      </x:c>
      <x:c r="F45" s="21" t="str">
        <x:v>1-全景框架明细!E45</x:v>
      </x:c>
      <x:c r="G45" s="21" t="str">
        <x:f>IF(COUNTIF('1-全景框架明细'!$E$5:$E$100,D45)&gt;0,"通过","缺失")</x:f>
        <x:v>通过</x:v>
      </x:c>
      <x:c r="H45" s="21" t="str">
        <x:v>HTML主骨架</x:v>
      </x:c>
    </x:row>
    <x:row r="46" ht="46" customHeight="1">
      <x:c r="A46" s="21" t="str">
        <x:v>H5.1.2</x:v>
      </x:c>
      <x:c r="B46" s="21" t="str">
        <x:v>AI智能体体系 · 全员AI革命</x:v>
      </x:c>
      <x:c r="C46" s="21" t="str">
        <x:v>围绕工作的智能体</x:v>
      </x:c>
      <x:c r="D46" s="21" t="str">
        <x:v>电商运营 · 财务做账 · 人事 · 营销</x:v>
      </x:c>
      <x:c r="E46" s="21" t="str">
        <x:v>电商运营智能体/财务做账基本智能体/人事主体/营销智能体</x:v>
      </x:c>
      <x:c r="F46" s="21" t="str">
        <x:v>1-全景框架明细!E46</x:v>
      </x:c>
      <x:c r="G46" s="21" t="str">
        <x:f>IF(COUNTIF('1-全景框架明细'!$E$5:$E$100,D46)&gt;0,"通过","缺失")</x:f>
        <x:v>通过</x:v>
      </x:c>
      <x:c r="H46" s="21" t="str">
        <x:v>HTML主骨架</x:v>
      </x:c>
    </x:row>
    <x:row r="47" ht="46" customHeight="1">
      <x:c r="A47" s="21" t="str">
        <x:v>H5.1.3</x:v>
      </x:c>
      <x:c r="B47" s="21" t="str">
        <x:v>AI智能体体系 · 全员AI革命</x:v>
      </x:c>
      <x:c r="C47" s="21" t="str">
        <x:v>围绕工作的智能体</x:v>
      </x:c>
      <x:c r="D47" s="21" t="str">
        <x:v>一周搭建 → 二周使用 → 三周复盘</x:v>
      </x:c>
      <x:c r="E47" s="21" t="str">
        <x:v>先确定搭什么→与黄思睿/沈东奇/王新梦沟通框架→平台统一管理</x:v>
      </x:c>
      <x:c r="F47" s="21" t="str">
        <x:v>1-全景框架明细!E47</x:v>
      </x:c>
      <x:c r="G47" s="21" t="str">
        <x:f>IF(COUNTIF('1-全景框架明细'!$E$5:$E$100,D47)&gt;0,"通过","缺失")</x:f>
        <x:v>通过</x:v>
      </x:c>
      <x:c r="H47" s="21" t="str">
        <x:v>HTML主骨架</x:v>
      </x:c>
    </x:row>
    <x:row r="48" ht="46" customHeight="1">
      <x:c r="A48" s="21" t="str">
        <x:v>H5.1.4</x:v>
      </x:c>
      <x:c r="B48" s="21" t="str">
        <x:v>AI智能体体系 · 全员AI革命</x:v>
      </x:c>
      <x:c r="C48" s="21" t="str">
        <x:v>围绕工作的智能体</x:v>
      </x:c>
      <x:c r="D48" s="21" t="str">
        <x:v>8-9月为限 · 年底前不会者淘汰</x:v>
      </x:c>
      <x:c r="E48" s="21" t="str">
        <x:v>AI是革命不是工具选项：不用AI就被AI革命掉；不会用=被时代淘汰</x:v>
      </x:c>
      <x:c r="F48" s="21" t="str">
        <x:v>1-全景框架明细!E48</x:v>
      </x:c>
      <x:c r="G48" s="21" t="str">
        <x:f>IF(COUNTIF('1-全景框架明细'!$E$5:$E$100,D48)&gt;0,"通过","缺失")</x:f>
        <x:v>通过</x:v>
      </x:c>
      <x:c r="H48" s="21" t="str">
        <x:v>HTML主骨架</x:v>
      </x:c>
    </x:row>
    <x:row r="49" ht="46" customHeight="1">
      <x:c r="A49" s="21" t="str">
        <x:v>H5.2.1</x:v>
      </x:c>
      <x:c r="B49" s="21" t="str">
        <x:v>AI智能体体系 · 全员AI革命</x:v>
      </x:c>
      <x:c r="C49" s="21" t="str">
        <x:v>人为工作 + 服务器24小时自动</x:v>
      </x:c>
      <x:c r="D49" s="21" t="str">
        <x:v>月度账务盘点（示例）</x:v>
      </x:c>
      <x:c r="E49" s="21" t="str">
        <x:v>盘电子账→定时盘实物→按标准上报→系统自动推送报告/要求</x:v>
      </x:c>
      <x:c r="F49" s="21" t="str">
        <x:v>1-全景框架明细!E49</x:v>
      </x:c>
      <x:c r="G49" s="21" t="str">
        <x:f>IF(COUNTIF('1-全景框架明细'!$E$5:$E$100,D49)&gt;0,"通过","缺失")</x:f>
        <x:v>通过</x:v>
      </x:c>
      <x:c r="H49" s="21" t="str">
        <x:v>HTML主骨架</x:v>
      </x:c>
    </x:row>
    <x:row r="50" ht="46" customHeight="1">
      <x:c r="A50" s="21" t="str">
        <x:v>H5.2.2</x:v>
      </x:c>
      <x:c r="B50" s="21" t="str">
        <x:v>AI智能体体系 · 全员AI革命</x:v>
      </x:c>
      <x:c r="C50" s="21" t="str">
        <x:v>人为工作 + 服务器24小时自动</x:v>
      </x:c>
      <x:c r="D50" s="21" t="str">
        <x:v>公司数据全部透明上线</x:v>
      </x:c>
      <x:c r="E50" s="21" t="str">
        <x:v>无见不得光/无基本账；按岗位权限分配"该给谁看"；提升整体运营效率</x:v>
      </x:c>
      <x:c r="F50" s="21" t="str">
        <x:v>1-全景框架明细!E50</x:v>
      </x:c>
      <x:c r="G50" s="21" t="str">
        <x:f>IF(COUNTIF('1-全景框架明细'!$E$5:$E$100,D50)&gt;0,"通过","缺失")</x:f>
        <x:v>通过</x:v>
      </x:c>
      <x:c r="H50" s="21" t="str">
        <x:v>HTML主骨架</x:v>
      </x:c>
    </x:row>
    <x:row r="51" ht="46" customHeight="1">
      <x:c r="A51" s="21" t="str">
        <x:v>H5.2.3</x:v>
      </x:c>
      <x:c r="B51" s="21" t="str">
        <x:v>AI智能体体系 · 全员AI革命</x:v>
      </x:c>
      <x:c r="C51" s="21" t="str">
        <x:v>人为工作 + 服务器24小时自动</x:v>
      </x:c>
      <x:c r="D51" s="21" t="str">
        <x:v>Code为核心模板 + 小龙虾补充</x:v>
      </x:c>
      <x:c r="E51" s="21" t="str">
        <x:v>Code逻辑推理强为核心，考虑VPN不便、小龙虾方便，两者互补</x:v>
      </x:c>
      <x:c r="F51" s="21" t="str">
        <x:v>1-全景框架明细!E51</x:v>
      </x:c>
      <x:c r="G51" s="21" t="str">
        <x:f>IF(COUNTIF('1-全景框架明细'!$E$5:$E$100,D51)&gt;0,"通过","缺失")</x:f>
        <x:v>通过</x:v>
      </x:c>
      <x:c r="H51" s="21" t="str">
        <x:v>HTML主骨架</x:v>
      </x:c>
    </x:row>
    <x:row r="52" ht="46" customHeight="1">
      <x:c r="A52" s="21" t="str">
        <x:v>H6.1.1</x:v>
      </x:c>
      <x:c r="B52" s="21" t="str">
        <x:v>日报周报红线 · 汇报逻辑 · 数据责任</x:v>
      </x:c>
      <x:c r="C52" s="21" t="str">
        <x:v>日报/周报/月报 = 公司规则</x:v>
      </x:c>
      <x:c r="D52" s="21" t="str">
        <x:v>写不像样周报 = 态度/能力问题</x:v>
      </x:c>
      <x:c r="E52" s="21" t="str">
        <x:v>老员工因周报问题被开除；新人容错1-2周后不合格不留</x:v>
      </x:c>
      <x:c r="F52" s="21" t="str">
        <x:v>1-全景框架明细!E52</x:v>
      </x:c>
      <x:c r="G52" s="21" t="str">
        <x:f>IF(COUNTIF('1-全景框架明细'!$E$5:$E$100,D52)&gt;0,"通过","缺失")</x:f>
        <x:v>通过</x:v>
      </x:c>
      <x:c r="H52" s="21" t="str">
        <x:v>HTML主骨架</x:v>
      </x:c>
    </x:row>
    <x:row r="53" ht="46" customHeight="1">
      <x:c r="A53" s="21" t="str">
        <x:v>H6.1.2</x:v>
      </x:c>
      <x:c r="B53" s="21" t="str">
        <x:v>日报周报红线 · 汇报逻辑 · 数据责任</x:v>
      </x:c>
      <x:c r="C53" s="21" t="str">
        <x:v>日报/周报/月报 = 公司规则</x:v>
      </x:c>
      <x:c r="D53" s="21" t="str">
        <x:v>有目标 · 有完成率 · 有复盘 · 有计划</x:v>
      </x:c>
      <x:c r="E53" s="21" t="str">
        <x:v>禁止流水账；先写给自己再写给领导；年→季→月→周→日层层清晰</x:v>
      </x:c>
      <x:c r="F53" s="21" t="str">
        <x:v>1-全景框架明细!E53</x:v>
      </x:c>
      <x:c r="G53" s="21" t="str">
        <x:f>IF(COUNTIF('1-全景框架明细'!$E$5:$E$100,D53)&gt;0,"通过","缺失")</x:f>
        <x:v>通过</x:v>
      </x:c>
      <x:c r="H53" s="21" t="str">
        <x:v>HTML主骨架</x:v>
      </x:c>
    </x:row>
    <x:row r="54" ht="46" customHeight="1">
      <x:c r="A54" s="21" t="str">
        <x:v>H6.1.3</x:v>
      </x:c>
      <x:c r="B54" s="21" t="str">
        <x:v>日报周报红线 · 汇报逻辑 · 数据责任</x:v>
      </x:c>
      <x:c r="C54" s="21" t="str">
        <x:v>日报/周报/月报 = 公司规则</x:v>
      </x:c>
      <x:c r="D54" s="21" t="str">
        <x:v>不要求漂亮PPT · AI几秒生成</x:v>
      </x:c>
      <x:c r="E54" s="21" t="str">
        <x:v>核心是把工作梳理清楚；可与AI交流岗位报告怎么写</x:v>
      </x:c>
      <x:c r="F54" s="21" t="str">
        <x:v>1-全景框架明细!E54</x:v>
      </x:c>
      <x:c r="G54" s="21" t="str">
        <x:f>IF(COUNTIF('1-全景框架明细'!$E$5:$E$100,D54)&gt;0,"通过","缺失")</x:f>
        <x:v>通过</x:v>
      </x:c>
      <x:c r="H54" s="21" t="str">
        <x:v>HTML主骨架</x:v>
      </x:c>
    </x:row>
    <x:row r="55" ht="46" customHeight="1">
      <x:c r="A55" s="21" t="str">
        <x:v>H6.2.1</x:v>
      </x:c>
      <x:c r="B55" s="21" t="str">
        <x:v>日报周报红线 · 汇报逻辑 · 数据责任</x:v>
      </x:c>
      <x:c r="C55" s="21" t="str">
        <x:v>一目了然 · 有主到次 · 分层级</x:v>
      </x:c>
      <x:c r="D55" s="21" t="str">
        <x:v>先讲什么、其次讲什么</x:v>
      </x:c>
      <x:c r="E55" s="21" t="str">
        <x:v>主次分明、分层级分逻辑；工作分清楚，沟通效率才高</x:v>
      </x:c>
      <x:c r="F55" s="21" t="str">
        <x:v>1-全景框架明细!E55</x:v>
      </x:c>
      <x:c r="G55" s="21" t="str">
        <x:f>IF(COUNTIF('1-全景框架明细'!$E$5:$E$100,D55)&gt;0,"通过","缺失")</x:f>
        <x:v>通过</x:v>
      </x:c>
      <x:c r="H55" s="21" t="str">
        <x:v>HTML主骨架</x:v>
      </x:c>
    </x:row>
    <x:row r="56" ht="46" customHeight="1">
      <x:c r="A56" s="21" t="str">
        <x:v>H6.2.2</x:v>
      </x:c>
      <x:c r="B56" s="21" t="str">
        <x:v>日报周报红线 · 汇报逻辑 · 数据责任</x:v>
      </x:c>
      <x:c r="C56" s="21" t="str">
        <x:v>一目了然 · 有主到次 · 分层级</x:v>
      </x:c>
      <x:c r="D56" s="21" t="str">
        <x:v>员工工作内容围绕公司重点工作线</x:v>
      </x:c>
      <x:c r="E56" s="21" t="str">
        <x:v>收/支两条线理清楚；各岗位围绕重点工作开展</x:v>
      </x:c>
      <x:c r="F56" s="21" t="str">
        <x:v>1-全景框架明细!E56</x:v>
      </x:c>
      <x:c r="G56" s="21" t="str">
        <x:f>IF(COUNTIF('1-全景框架明细'!$E$5:$E$100,D56)&gt;0,"通过","缺失")</x:f>
        <x:v>通过</x:v>
      </x:c>
      <x:c r="H56" s="21" t="str">
        <x:v>HTML主骨架</x:v>
      </x:c>
    </x:row>
    <x:row r="57" ht="46" customHeight="1">
      <x:c r="A57" s="21" t="str">
        <x:v>H6.3.1</x:v>
      </x:c>
      <x:c r="B57" s="21" t="str">
        <x:v>日报周报红线 · 汇报逻辑 · 数据责任</x:v>
      </x:c>
      <x:c r="C57" s="21" t="str">
        <x:v>数据包责任 · 复核 · 时效</x:v>
      </x:c>
      <x:c r="D57" s="21" t="str">
        <x:v>各板块数据责任人 → 财务/总经办复核</x:v>
      </x:c>
      <x:c r="E57" s="21" t="str">
        <x:v>公司销售/APR/电商/3PP/财务/营销/客服/人事/事项 九大数据包</x:v>
      </x:c>
      <x:c r="F57" s="21" t="str">
        <x:v>1-全景框架明细!E57</x:v>
      </x:c>
      <x:c r="G57" s="21" t="str">
        <x:f>IF(COUNTIF('1-全景框架明细'!$E$5:$E$100,D57)&gt;0,"通过","缺失")</x:f>
        <x:v>通过</x:v>
      </x:c>
      <x:c r="H57" s="21" t="str">
        <x:v>HTML主骨架</x:v>
      </x:c>
    </x:row>
    <x:row r="58" ht="46" customHeight="1">
      <x:c r="A58" s="21" t="str">
        <x:v>H6.3.2</x:v>
      </x:c>
      <x:c r="B58" s="21" t="str">
        <x:v>日报周报红线 · 汇报逻辑 · 数据责任</x:v>
      </x:c>
      <x:c r="C58" s="21" t="str">
        <x:v>数据包责任 · 复核 · 时效</x:v>
      </x:c>
      <x:c r="D58" s="21" t="str">
        <x:v>日报08:30 · 周报周一10:00 · 月报次月5日</x:v>
      </x:c>
      <x:c r="E58" s="21" t="str">
        <x:v>关键数据不齐时带"暂估/待确认/缺失"标识按时呈报，禁止静默补数</x:v>
      </x:c>
      <x:c r="F58" s="21" t="str">
        <x:v>1-全景框架明细!E58</x:v>
      </x:c>
      <x:c r="G58" s="21" t="str">
        <x:f>IF(COUNTIF('1-全景框架明细'!$E$5:$E$100,D58)&gt;0,"通过","缺失")</x:f>
        <x:v>通过</x:v>
      </x:c>
      <x:c r="H58" s="21" t="str">
        <x:v>HTML主骨架</x:v>
      </x:c>
    </x:row>
    <x:row r="59">
      <x:c r="A59" s="3"/>
      <x:c r="B59" s="3"/>
      <x:c r="C59" s="3"/>
      <x:c r="D59" s="3"/>
      <x:c r="E59" s="3"/>
      <x:c r="F59" s="3"/>
      <x:c r="G59" s="3"/>
      <x:c r="H59" s="3"/>
    </x:row>
    <x:row r="60">
      <x:c r="A60" s="3"/>
      <x:c r="B60" s="3"/>
      <x:c r="C60" s="3"/>
      <x:c r="D60" s="3"/>
      <x:c r="E60" s="3"/>
      <x:c r="F60" s="3"/>
      <x:c r="G60" s="3"/>
      <x:c r="H60" s="3"/>
    </x:row>
  </x:sheetData>
  <x:mergeCells>
    <x:mergeCell ref="A1:H1"/>
    <x:mergeCell ref="A2:H2"/>
  </x:mergeCells>
  <x:conditionalFormatting sqref="G5:G58">
    <x:cfRule type="containsText" dxfId="7" priority="1" operator="containsText" text="通过"/>
    <x:cfRule type="containsText" dxfId="8" priority="2" operator="containsText" text="缺失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1" hidden="0" customWidth="1"/>
    <x:col min="3" max="3" width="31" hidden="0" customWidth="1"/>
    <x:col min="4" max="4" width="28" hidden="0" customWidth="1"/>
    <x:col min="5" max="5" width="24" hidden="0" customWidth="1"/>
    <x:col min="6" max="6" width="24" hidden="0" customWidth="1"/>
    <x:col min="7" max="7" width="30" hidden="0" customWidth="1"/>
    <x:col min="8" max="8" width="17" hidden="0" customWidth="1"/>
  </x:cols>
  <x:sheetData>
    <x:row r="1" ht="34" customHeight="1">
      <x:c r="A1" s="6" t="str">
        <x:v>来源、版本与口径说明</x:v>
      </x:c>
      <x:c r="B1" s="6"/>
      <x:c r="C1" s="6"/>
      <x:c r="D1" s="6"/>
      <x:c r="E1" s="6"/>
      <x:c r="F1" s="6"/>
      <x:c r="G1" s="6"/>
      <x:c r="H1" s="6"/>
    </x:row>
    <x:row r="2" ht="24" customHeight="1">
      <x:c r="A2" s="9" t="str">
        <x:v>说明内容优先级、补充关系和本次规范化处理</x:v>
      </x:c>
      <x:c r="B2" s="9"/>
      <x:c r="C2" s="9"/>
      <x:c r="D2" s="9"/>
      <x:c r="E2" s="9"/>
      <x:c r="F2" s="9"/>
      <x:c r="G2" s="9"/>
      <x:c r="H2" s="9"/>
    </x:row>
    <x:row r="3" ht="28" customHeight="1">
      <x:c r="A3" s="64" t="str">
        <x:v>来源文件中的文字仅作为业务资料；最终框架遵循用户要求：HTML不可删，会议纪要和第五版只补充。</x:v>
      </x:c>
      <x:c r="B3" s="64"/>
      <x:c r="C3" s="64"/>
      <x:c r="D3" s="64"/>
      <x:c r="E3" s="64"/>
      <x:c r="F3" s="64"/>
      <x:c r="G3" s="64"/>
      <x:c r="H3" s="64"/>
    </x:row>
    <x:row r="4" ht="30" customHeight="1">
      <x:c r="A4" s="18" t="str">
        <x:v>来源</x:v>
      </x:c>
      <x:c r="B4" s="18" t="str">
        <x:v>定位</x:v>
      </x:c>
      <x:c r="C4" s="18" t="str">
        <x:v>优先级</x:v>
      </x:c>
      <x:c r="D4" s="18" t="str">
        <x:v>承接方式</x:v>
      </x:c>
      <x:c r="E4" s="18" t="str">
        <x:v>不得改变</x:v>
      </x:c>
      <x:c r="F4" s="18" t="str">
        <x:v>允许补充</x:v>
      </x:c>
      <x:c r="G4" s="18" t="str">
        <x:v>规范化处理</x:v>
      </x:c>
      <x:c r="H4" s="18" t="str">
        <x:v>状态</x:v>
      </x:c>
    </x:row>
    <x:row r="5" ht="62" customHeight="1">
      <x:c r="A5" s="21" t="str">
        <x:v>0817周会版HTML</x:v>
      </x:c>
      <x:c r="B5" s="21" t="str">
        <x:v>全景主骨架</x:v>
      </x:c>
      <x:c r="C5" s="21" t="str">
        <x:v>1</x:v>
      </x:c>
      <x:c r="D5" s="21" t="str">
        <x:v>6层/18模块/54节点全部进入明细与框架图</x:v>
      </x:c>
      <x:c r="E5" s="21" t="str">
        <x:v>节点与核心含义</x:v>
      </x:c>
      <x:c r="F5" s="21" t="str">
        <x:v>责任、频率、载体、口径</x:v>
      </x:c>
      <x:c r="G5" s="21" t="str">
        <x:v>原文保留；主呈现可用规范业务词</x:v>
      </x:c>
      <x:c r="H5" s="21" t="str">
        <x:v>完整承接</x:v>
      </x:c>
    </x:row>
    <x:row r="6" ht="62" customHeight="1">
      <x:c r="A6" s="21" t="str">
        <x:v>最终第五版Excel</x:v>
      </x:c>
      <x:c r="B6" s="21" t="str">
        <x:v>日周月与治理结构</x:v>
      </x:c>
      <x:c r="C6" s="21" t="str">
        <x:v>2</x:v>
      </x:c>
      <x:c r="D6" s="21" t="str">
        <x:v>日报、周报、月报、板块、指标、预警、责任、台账、附表</x:v>
      </x:c>
      <x:c r="E6" s="21" t="str">
        <x:v>现行业务渠道边界</x:v>
      </x:c>
      <x:c r="F6" s="21" t="str">
        <x:v>与HTML交叉映射</x:v>
      </x:c>
      <x:c r="G6" s="21" t="str">
        <x:v>统一视觉与编号</x:v>
      </x:c>
      <x:c r="H6" s="21" t="str">
        <x:v>已承接</x:v>
      </x:c>
    </x:row>
    <x:row r="7" ht="62" customHeight="1">
      <x:c r="A7" s="21" t="str">
        <x:v>0817会议纪要</x:v>
      </x:c>
      <x:c r="B7" s="21" t="str">
        <x:v>老板原意与部署依据</x:v>
      </x:c>
      <x:c r="C7" s="21" t="str">
        <x:v>3</x:v>
      </x:c>
      <x:c r="D7" s="21" t="str">
        <x:v>补充优先级、管理四维、风控流程与AI部署</x:v>
      </x:c>
      <x:c r="E7" s="21" t="str">
        <x:v>会议核心优先级</x:v>
      </x:c>
      <x:c r="F7" s="21" t="str">
        <x:v>衡量标准和落地动作</x:v>
      </x:c>
      <x:c r="G7" s="21" t="str">
        <x:v>口语转为管理表达</x:v>
      </x:c>
      <x:c r="H7" s="21" t="str">
        <x:v>已承接</x:v>
      </x:c>
    </x:row>
    <x:row r="8">
      <x:c r="A8" s="3"/>
      <x:c r="B8" s="3"/>
      <x:c r="C8" s="3"/>
      <x:c r="D8" s="3"/>
      <x:c r="E8" s="3"/>
      <x:c r="F8" s="3"/>
      <x:c r="G8" s="3"/>
      <x:c r="H8" s="3"/>
    </x:row>
    <x:row r="9" ht="26" customHeight="1">
      <x:c r="A9" s="76" t="str">
        <x:v>规范化说明</x:v>
      </x:c>
      <x:c r="B9" s="76"/>
      <x:c r="C9" s="76"/>
      <x:c r="D9" s="76"/>
      <x:c r="E9" s="76"/>
      <x:c r="F9" s="76"/>
      <x:c r="G9" s="76"/>
      <x:c r="H9" s="76"/>
    </x:row>
    <x:row r="10" ht="30" customHeight="1">
      <x:c r="A10" s="18" t="str">
        <x:v>事项</x:v>
      </x:c>
      <x:c r="B10" s="18" t="str">
        <x:v>来源表达</x:v>
      </x:c>
      <x:c r="C10" s="18" t="str">
        <x:v>主呈现口径</x:v>
      </x:c>
      <x:c r="D10" s="18" t="str">
        <x:v>处理原则</x:v>
      </x:c>
      <x:c r="E10" s="18" t="str"/>
      <x:c r="F10" s="18" t="str"/>
      <x:c r="G10" s="18" t="str"/>
      <x:c r="H10" s="18" t="str"/>
    </x:row>
    <x:row r="11" ht="52" customHeight="1">
      <x:c r="A11" s="21" t="str">
        <x:v>收银结算</x:v>
      </x:c>
      <x:c r="B11" s="21" t="str">
        <x:v>HTML含“输赢管理”</x:v>
      </x:c>
      <x:c r="C11" s="21" t="str">
        <x:v>收银管理/非单管理/结算管理</x:v>
      </x:c>
      <x:c r="D11" s="21" t="str">
        <x:v>会议纪要明确为收银管理；HTML原始说明仍保留在全景明细。</x:v>
      </x:c>
      <x:c r="E11" s="21"/>
      <x:c r="F11" s="21"/>
      <x:c r="G11" s="21"/>
      <x:c r="H11" s="21"/>
    </x:row>
    <x:row r="12" ht="52" customHeight="1">
      <x:c r="A12" s="21" t="str">
        <x:v>责任人姓名</x:v>
      </x:c>
      <x:c r="B12" s="21" t="str">
        <x:v>HTML含个别口述姓名</x:v>
      </x:c>
      <x:c r="C12" s="21" t="str">
        <x:v>按岗位角色呈现</x:v>
      </x:c>
      <x:c r="D12" s="21" t="str">
        <x:v>避免姓名转写误差，正式分工可在责任表中固化。</x:v>
      </x:c>
      <x:c r="E12" s="21"/>
      <x:c r="F12" s="21"/>
      <x:c r="G12" s="21"/>
      <x:c r="H12" s="21"/>
    </x:row>
    <x:row r="13" ht="52" customHeight="1">
      <x:c r="A13" s="21" t="str">
        <x:v>Apple电商</x:v>
      </x:c>
      <x:c r="B13" s="21" t="str">
        <x:v>多渠道泛称</x:v>
      </x:c>
      <x:c r="C13" s="21" t="str">
        <x:v>京东羽通、苏宁啟韬</x:v>
      </x:c>
      <x:c r="D13" s="21" t="str">
        <x:v>不纳入天猫；天猫仅属于Shure官方旗舰店。</x:v>
      </x:c>
      <x:c r="E13" s="21"/>
      <x:c r="F13" s="21"/>
      <x:c r="G13" s="21"/>
      <x:c r="H13" s="21"/>
    </x:row>
    <x:row r="14" ht="52" customHeight="1">
      <x:c r="A14" s="21" t="str">
        <x:v>AI工具</x:v>
      </x:c>
      <x:c r="B14" s="21" t="str">
        <x:v>Code/code x及小龙虾</x:v>
      </x:c>
      <x:c r="C14" s="21" t="str">
        <x:v>Code为核心模板，小龙虾补充</x:v>
      </x:c>
      <x:c r="D14" s="21" t="str">
        <x:v>保留会议意思，工具不能替代人工责任。</x:v>
      </x:c>
      <x:c r="E14" s="21"/>
      <x:c r="F14" s="21"/>
      <x:c r="G14" s="21"/>
      <x:c r="H14" s="21"/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>
      <x:c r="A16" s="3"/>
      <x:c r="B16" s="3"/>
      <x:c r="C16" s="3"/>
      <x:c r="D16" s="3"/>
      <x:c r="E16" s="3"/>
      <x:c r="F16" s="3"/>
      <x:c r="G16" s="3"/>
      <x:c r="H16" s="3"/>
    </x:row>
    <x:row r="17">
      <x:c r="A17" s="3"/>
      <x:c r="B17" s="3"/>
      <x:c r="C17" s="3"/>
      <x:c r="D17" s="3"/>
      <x:c r="E17" s="3"/>
      <x:c r="F17" s="3"/>
      <x:c r="G17" s="3"/>
      <x:c r="H17" s="3"/>
    </x:row>
    <x:row r="18">
      <x:c r="A18" s="3"/>
      <x:c r="B18" s="3"/>
      <x:c r="C18" s="3"/>
      <x:c r="D18" s="3"/>
      <x:c r="E18" s="3"/>
      <x:c r="F18" s="3"/>
      <x:c r="G18" s="3"/>
      <x:c r="H18" s="3"/>
    </x:row>
    <x:row r="19">
      <x:c r="A19" s="3"/>
      <x:c r="B19" s="3"/>
      <x:c r="C19" s="3"/>
      <x:c r="D19" s="3"/>
      <x:c r="E19" s="3"/>
      <x:c r="F19" s="3"/>
      <x:c r="G19" s="3"/>
      <x:c r="H19" s="3"/>
    </x:row>
  </x:sheetData>
  <x:mergeCells>
    <x:mergeCell ref="A1:H1"/>
    <x:mergeCell ref="A2:H2"/>
    <x:mergeCell ref="A3:H3"/>
    <x:mergeCell ref="A9:H9"/>
    <x:mergeCell ref="D10:H10"/>
    <x:mergeCell ref="D11:H11"/>
    <x:mergeCell ref="D12:H12"/>
    <x:mergeCell ref="D13:H13"/>
    <x:mergeCell ref="D14:H14"/>
  </x:mergeCells>
  <x:pageMargins left="0.7" right="0.7" top="0.75" bottom="0.75" header="0.3" footer="0.3"/>
</x:worksheet>
</file>