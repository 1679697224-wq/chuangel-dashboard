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816be8e8c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说明" sheetId="1" r:id="Rf11475d152a6482a"/>
    <x:sheet xmlns:r="http://schemas.openxmlformats.org/officeDocument/2006/relationships" name="数据检查" sheetId="2" r:id="R52c88f1d16f24ff8"/>
    <x:sheet xmlns:r="http://schemas.openxmlformats.org/officeDocument/2006/relationships" name="老板端汇总" sheetId="3" r:id="Rcab8a48793dd4a8c"/>
    <x:sheet xmlns:r="http://schemas.openxmlformats.org/officeDocument/2006/relationships" name="简报摘要" sheetId="4" r:id="R8ccbc229e3b84a63"/>
    <x:sheet xmlns:r="http://schemas.openxmlformats.org/officeDocument/2006/relationships" name="经营采集" sheetId="5" r:id="R77b0d3db24ed4b1d"/>
    <x:sheet xmlns:r="http://schemas.openxmlformats.org/officeDocument/2006/relationships" name="门店明细" sheetId="6" r:id="R7382128b6a964669"/>
    <x:sheet xmlns:r="http://schemas.openxmlformats.org/officeDocument/2006/relationships" name="管理采集" sheetId="7" r:id="Rffabd195dbf74182"/>
    <x:sheet xmlns:r="http://schemas.openxmlformats.org/officeDocument/2006/relationships" name="事项风控" sheetId="8" r:id="Ref0738ca6d8f407a"/>
    <x:sheet xmlns:r="http://schemas.openxmlformats.org/officeDocument/2006/relationships" name="内容传播" sheetId="9" r:id="R7d48617b006a462a"/>
    <x:sheet xmlns:r="http://schemas.openxmlformats.org/officeDocument/2006/relationships" name="字段字典" sheetId="10" r:id="R3ec4161ff98e4fde"/>
    <x:sheet xmlns:r="http://schemas.openxmlformats.org/officeDocument/2006/relationships" name="名单配置" sheetId="11" r:id="Rd95055cc9bbf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;[Red](#,##0);-"/>
    <x:numFmt numFmtId="202" formatCode="0.0%"/>
    <x:numFmt numFmtId="203" formatCode="0.0"/>
    <x:numFmt numFmtId="204" formatCode="yyyy-mm-dd hh:mm"/>
    <x:numFmt numFmtId="205" formatCode="0%"/>
  </x:numFmts>
  <x:fonts count="23">
    <x:font>
      <x:sz val="11"/>
      <x:name val="Carlito"/>
    </x:font>
    <x:font>
      <x:sz val="10"/>
      <x:color rgb="FF172033"/>
      <x:name val="Microsoft YaHei"/>
    </x:font>
    <x:font>
      <x:b/>
      <x:sz val="18"/>
      <x:color rgb="FFFFFFFF"/>
      <x:name val="Microsoft YaHei"/>
    </x:font>
    <x:font>
      <x:sz val="9"/>
      <x:color rgb="FF667085"/>
      <x:name val="Microsoft YaHei"/>
    </x:font>
    <x:font>
      <x:b/>
      <x:sz val="11"/>
      <x:color rgb="FF123B70"/>
      <x:name val="Microsoft YaHei"/>
    </x:font>
    <x:font>
      <x:b/>
      <x:sz val="10"/>
      <x:color rgb="FF123B70"/>
      <x:name val="Microsoft YaHei"/>
    </x:font>
    <x:font>
      <x:b/>
      <x:sz val="10"/>
      <x:color rgb="FF0B7A57"/>
      <x:name val="Microsoft YaHei"/>
    </x:font>
    <x:font>
      <x:b/>
      <x:sz val="10"/>
      <x:color rgb="FFB76A00"/>
      <x:name val="Microsoft YaHei"/>
    </x:font>
    <x:font>
      <x:b/>
      <x:sz val="10"/>
      <x:color rgb="FF2367C6"/>
      <x:name val="Microsoft YaHei"/>
    </x:font>
    <x:font>
      <x:b/>
      <x:sz val="10"/>
      <x:color rgb="FFC53B3B"/>
      <x:name val="Microsoft YaHei"/>
    </x:font>
    <x:font>
      <x:b/>
      <x:sz val="9"/>
      <x:color rgb="FFFFFFFF"/>
      <x:name val="Microsoft YaHei"/>
    </x:font>
    <x:font>
      <x:b/>
      <x:sz val="9"/>
      <x:color rgb="FF172033"/>
      <x:name val="Microsoft YaHei"/>
    </x:font>
    <x:font>
      <x:sz val="9"/>
      <x:color rgb="FF172033"/>
      <x:name val="Microsoft YaHei"/>
    </x:font>
    <x:font>
      <x:b/>
      <x:sz val="10"/>
      <x:color rgb="FFFFFFFF"/>
      <x:name val="Microsoft YaHei"/>
    </x:font>
    <x:font>
      <x:b/>
      <x:sz val="14"/>
      <x:color rgb="FF0B7A57"/>
      <x:name val="Microsoft YaHei"/>
    </x:font>
    <x:font>
      <x:b/>
      <x:sz val="10"/>
      <x:color rgb="FF667085"/>
      <x:name val="Microsoft YaHei"/>
    </x:font>
    <x:font>
      <x:b/>
      <x:sz val="9"/>
      <x:color rgb="FF667085"/>
      <x:name val="Microsoft YaHei"/>
    </x:font>
    <x:font>
      <x:b/>
      <x:sz val="18"/>
      <x:color rgb="FF2367C6"/>
      <x:name val="Microsoft YaHei"/>
    </x:font>
    <x:font>
      <x:sz val="8"/>
      <x:color rgb="FF667085"/>
      <x:name val="Microsoft YaHei"/>
    </x:font>
    <x:font>
      <x:b/>
      <x:sz val="18"/>
      <x:color rgb="FF0B7A57"/>
      <x:name val="Microsoft YaHei"/>
    </x:font>
    <x:font>
      <x:b/>
      <x:sz val="18"/>
      <x:color rgb="FF6757C8"/>
      <x:name val="Microsoft YaHei"/>
    </x:font>
    <x:font>
      <x:b/>
      <x:sz val="18"/>
      <x:color rgb="FFB76A00"/>
      <x:name val="Microsoft YaHei"/>
    </x:font>
    <x:font>
      <x:b/>
      <x:sz val="10"/>
      <x:color rgb="FF172033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0C2B52"/>
      </x:patternFill>
    </x:fill>
    <x:fill>
      <x:patternFill patternType="solid">
        <x:fgColor rgb="FFF4F7FB"/>
      </x:patternFill>
    </x:fill>
    <x:fill>
      <x:patternFill patternType="solid">
        <x:fgColor rgb="FFEAF2FD"/>
      </x:patternFill>
    </x:fill>
    <x:fill>
      <x:patternFill patternType="solid">
        <x:fgColor rgb="FFFFFFFF"/>
      </x:patternFill>
    </x:fill>
    <x:fill>
      <x:patternFill patternType="solid">
        <x:fgColor rgb="FFE7F5EF"/>
      </x:patternFill>
    </x:fill>
    <x:fill>
      <x:patternFill patternType="solid">
        <x:fgColor rgb="FFFFF3DA"/>
      </x:patternFill>
    </x:fill>
    <x:fill>
      <x:patternFill patternType="solid">
        <x:fgColor rgb="FFFFF8D9"/>
      </x:patternFill>
    </x:fill>
    <x:fill>
      <x:patternFill patternType="solid">
        <x:fgColor rgb="FFEEF4FB"/>
      </x:patternFill>
    </x:fill>
    <x:fill>
      <x:patternFill patternType="solid">
        <x:fgColor rgb="FFFDECEC"/>
      </x:patternFill>
    </x:fill>
    <x:fill>
      <x:patternFill patternType="solid">
        <x:fgColor rgb="FF123B70"/>
      </x:patternFill>
    </x:fill>
  </x:fills>
  <x:borders count="36">
    <x:border/>
    <x:border>
      <x:left style="medium">
        <x:color rgb="FF0C2B52"/>
      </x:left>
      <x:top style="medium">
        <x:color rgb="FF0C2B52"/>
      </x:top>
    </x:border>
    <x:border>
      <x:top style="medium">
        <x:color rgb="FF0C2B52"/>
      </x:top>
    </x:border>
    <x:border>
      <x:right style="medium">
        <x:color rgb="FF0C2B52"/>
      </x:right>
      <x:top style="medium">
        <x:color rgb="FF0C2B52"/>
      </x:top>
    </x:border>
    <x:border>
      <x:left style="medium">
        <x:color rgb="FF0C2B52"/>
      </x:left>
      <x:bottom style="medium">
        <x:color rgb="FF0C2B52"/>
      </x:bottom>
    </x:border>
    <x:border>
      <x:bottom style="medium">
        <x:color rgb="FF0C2B52"/>
      </x:bottom>
    </x:border>
    <x:border>
      <x:right style="medium">
        <x:color rgb="FF0C2B52"/>
      </x:right>
      <x:bottom style="medium">
        <x:color rgb="FF0C2B52"/>
      </x:bottom>
    </x:border>
    <x:border>
      <x:left style="thin">
        <x:color rgb="FFD7E2EF"/>
      </x:left>
      <x:top style="thin">
        <x:color rgb="FFD7E2EF"/>
      </x:top>
      <x:bottom style="thin">
        <x:color rgb="FFD7E2EF"/>
      </x:bottom>
    </x:border>
    <x:border>
      <x:top style="thin">
        <x:color rgb="FFD7E2EF"/>
      </x:top>
      <x:bottom style="thin">
        <x:color rgb="FFD7E2EF"/>
      </x:bottom>
    </x:border>
    <x:border>
      <x:right style="thin">
        <x:color rgb="FFD7E2EF"/>
      </x:right>
      <x:top style="thin">
        <x:color rgb="FFD7E2EF"/>
      </x:top>
      <x:bottom style="thin">
        <x:color rgb="FFD7E2EF"/>
      </x:bottom>
    </x:border>
    <x:border>
      <x:bottom style="medium">
        <x:color rgb="FF2367C6"/>
      </x:bottom>
    </x:border>
    <x:border>
      <x:left style="thin">
        <x:color rgb="FFD7E2EF"/>
      </x:left>
      <x:top style="thin">
        <x:color rgb="FFD7E2EF"/>
      </x:top>
    </x:border>
    <x:border>
      <x:top style="thin">
        <x:color rgb="FFD7E2EF"/>
      </x:top>
    </x:border>
    <x:border>
      <x:right style="thin">
        <x:color rgb="FFD7E2EF"/>
      </x:right>
      <x:top style="thin">
        <x:color rgb="FFD7E2EF"/>
      </x:top>
    </x:border>
    <x:border>
      <x:left style="thin">
        <x:color rgb="FFD7E2EF"/>
      </x:left>
    </x:border>
    <x:border>
      <x:right style="thin">
        <x:color rgb="FFD7E2EF"/>
      </x:right>
    </x:border>
    <x:border>
      <x:left style="thin">
        <x:color rgb="FFD7E2EF"/>
      </x:left>
      <x:bottom style="thin">
        <x:color rgb="FFD7E2EF"/>
      </x:bottom>
    </x:border>
    <x:border>
      <x:bottom style="thin">
        <x:color rgb="FFD7E2EF"/>
      </x:bottom>
    </x:border>
    <x:border>
      <x:right style="thin">
        <x:color rgb="FFD7E2EF"/>
      </x:right>
      <x:bottom style="thin">
        <x:color rgb="FFD7E2EF"/>
      </x:bottom>
    </x:border>
    <x:border>
      <x:right style="thin">
        <x:color rgb="FF52759D"/>
      </x:right>
    </x:border>
    <x:border>
      <x:left style="thin">
        <x:color rgb="FF52759D"/>
      </x:left>
      <x:right style="thin">
        <x:color rgb="FF52759D"/>
      </x:right>
    </x:border>
    <x:border>
      <x:left style="thin">
        <x:color rgb="FF52759D"/>
      </x:left>
    </x:border>
    <x:border>
      <x:left style="thin">
        <x:color rgb="FFD7E2EF"/>
      </x:left>
      <x:right style="thin">
        <x:color rgb="FFD7E2EF"/>
      </x:right>
      <x:bottom style="thin">
        <x:color rgb="FFD7E2EF"/>
      </x:bottom>
    </x:border>
    <x:border>
      <x:left style="thin">
        <x:color rgb="FFD7E2EF"/>
      </x:left>
      <x:right style="thin">
        <x:color rgb="FF52759D"/>
      </x:right>
      <x:bottom style="thin">
        <x:color rgb="FFD7E2EF"/>
      </x:bottom>
    </x:border>
    <x:border>
      <x:left style="thin">
        <x:color rgb="FFD7E2EF"/>
      </x:left>
      <x:right style="thin">
        <x:color rgb="FFD7E2EF"/>
      </x:right>
      <x:top style="thin">
        <x:color rgb="FFD7E2EF"/>
      </x:top>
      <x:bottom style="thin">
        <x:color rgb="FFD7E2EF"/>
      </x:bottom>
    </x:border>
    <x:border>
      <x:left style="thin">
        <x:color rgb="FFD7E2EF"/>
      </x:left>
      <x:right style="thin">
        <x:color rgb="FF52759D"/>
      </x:right>
      <x:top style="thin">
        <x:color rgb="FFD7E2EF"/>
      </x:top>
      <x:bottom style="thin">
        <x:color rgb="FFD7E2EF"/>
      </x:bottom>
    </x:border>
    <x:border>
      <x:left style="thin">
        <x:color rgb="FFD7E2EF"/>
      </x:left>
      <x:right style="thin">
        <x:color rgb="FFD7E2EF"/>
      </x:right>
      <x:top style="thin">
        <x:color rgb="FFD7E2EF"/>
      </x:top>
    </x:border>
    <x:border>
      <x:left style="thin">
        <x:color rgb="FFD7E2EF"/>
      </x:left>
      <x:right style="thin">
        <x:color rgb="FF52759D"/>
      </x:right>
      <x:top style="thin">
        <x:color rgb="FFD7E2EF"/>
      </x:top>
    </x:border>
    <x:border>
      <x:left style="thick">
        <x:color rgb="FF2367C6"/>
      </x:left>
      <x:top style="thin">
        <x:color rgb="FFD7E2EF"/>
      </x:top>
    </x:border>
    <x:border>
      <x:left style="thick">
        <x:color rgb="FF2367C6"/>
      </x:left>
    </x:border>
    <x:border>
      <x:left style="thick">
        <x:color rgb="FF0B7A57"/>
      </x:left>
      <x:top style="thin">
        <x:color rgb="FFD7E2EF"/>
      </x:top>
    </x:border>
    <x:border>
      <x:left style="thick">
        <x:color rgb="FF0B7A57"/>
      </x:left>
    </x:border>
    <x:border>
      <x:left style="thick">
        <x:color rgb="FF6757C8"/>
      </x:left>
      <x:top style="thin">
        <x:color rgb="FFD7E2EF"/>
      </x:top>
    </x:border>
    <x:border>
      <x:left style="thick">
        <x:color rgb="FF6757C8"/>
      </x:left>
    </x:border>
    <x:border>
      <x:left style="thick">
        <x:color rgb="FFB76A00"/>
      </x:left>
      <x:top style="thin">
        <x:color rgb="FFD7E2EF"/>
      </x:top>
    </x:border>
    <x:border>
      <x:left style="thick">
        <x:color rgb="FFB76A00"/>
      </x:left>
    </x:border>
  </x:borders>
  <x:cellStyleXfs count="1">
    <x:xf numFmtId="0" fontId="0" fillId="0" borderId="0"/>
  </x:cellStyleXfs>
  <x:cellXfs count="37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0" fontId="1" fillId="5" borderId="13" xfId="0" applyNumberFormat="1" applyFont="1" applyFill="1" applyBorder="1"/>
    <x:xf numFmtId="0" fontId="1" fillId="5" borderId="14" xfId="0" applyNumberFormat="1" applyFont="1" applyFill="1" applyBorder="1"/>
    <x:xf numFmtId="0" fontId="1" fillId="5" borderId="15" xfId="0" applyNumberFormat="1" applyFont="1" applyFill="1" applyBorder="1"/>
    <x:xf numFmtId="0" fontId="1" fillId="5" borderId="16" xfId="0" applyNumberFormat="1" applyFont="1" applyFill="1" applyBorder="1"/>
    <x:xf numFmtId="0" fontId="1" fillId="5" borderId="17" xfId="0" applyNumberFormat="1" applyFont="1" applyFill="1" applyBorder="1"/>
    <x:xf numFmtId="0" fontId="1" fillId="5" borderId="18" xfId="0" applyNumberFormat="1" applyFont="1" applyFill="1" applyBorder="1"/>
    <x:xf numFmtId="0" fontId="1" fillId="5" borderId="11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0" fontId="1" fillId="5" borderId="13" xfId="0" applyNumberFormat="1" applyFont="1" applyFill="1" applyBorder="1" applyAlignment="1">
      <x:alignment wrapText="1"/>
    </x:xf>
    <x:xf numFmtId="0" fontId="1" fillId="5" borderId="1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15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wrapText="1"/>
    </x:xf>
    <x:xf numFmtId="0" fontId="1" fillId="5" borderId="17" xfId="0" applyNumberFormat="1" applyFont="1" applyFill="1" applyBorder="1" applyAlignment="1">
      <x:alignment wrapText="1"/>
    </x:xf>
    <x:xf numFmtId="0" fontId="1" fillId="5" borderId="18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1" fillId="5" borderId="16" xfId="0" applyNumberFormat="1" applyFont="1" applyFill="1" applyBorder="1" applyAlignment="1">
      <x:alignment vertical="center" wrapText="1"/>
    </x:xf>
    <x:xf numFmtId="0" fontId="1" fillId="5" borderId="17" xfId="0" applyNumberFormat="1" applyFont="1" applyFill="1" applyBorder="1" applyAlignment="1">
      <x:alignment vertical="center" wrapText="1"/>
    </x:xf>
    <x:xf numFmtId="0" fontId="1" fillId="5" borderId="18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vertical="center" wrapText="1"/>
    </x:xf>
    <x:xf numFmtId="0" fontId="1" fillId="4" borderId="14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5" fillId="4" borderId="16" xfId="0" applyNumberFormat="1" applyFont="1" applyFill="1" applyBorder="1" applyAlignment="1">
      <x:alignment horizontal="center"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1" fillId="6" borderId="14" xfId="0" applyNumberFormat="1" applyFont="1" applyFill="1" applyBorder="1" applyAlignment="1">
      <x:alignment vertical="center" wrapText="1"/>
    </x:xf>
    <x:xf numFmtId="0" fontId="1" fillId="6" borderId="16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6" fillId="6" borderId="16" xfId="0" applyNumberFormat="1" applyFont="1" applyFill="1" applyBorder="1" applyAlignment="1">
      <x:alignment horizontal="center" vertical="center" wrapText="1"/>
    </x:xf>
    <x:xf numFmtId="0" fontId="1" fillId="7" borderId="11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6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horizontal="center" vertical="center" wrapText="1"/>
    </x:xf>
    <x:xf numFmtId="0" fontId="7" fillId="7" borderId="14" xfId="0" applyNumberFormat="1" applyFont="1" applyFill="1" applyBorder="1" applyAlignment="1">
      <x:alignment horizontal="center" vertical="center" wrapText="1"/>
    </x:xf>
    <x:xf numFmtId="0" fontId="7" fillId="7" borderId="16" xfId="0" applyNumberFormat="1" applyFont="1" applyFill="1" applyBorder="1" applyAlignment="1">
      <x:alignment horizontal="center" vertical="center" wrapText="1"/>
    </x:xf>
    <x:xf numFmtId="0" fontId="1" fillId="8" borderId="11" xfId="0" applyNumberFormat="1" applyFont="1" applyFill="1" applyBorder="1" applyAlignment="1">
      <x:alignment vertical="center" wrapText="1"/>
    </x:xf>
    <x:xf numFmtId="0" fontId="1" fillId="8" borderId="14" xfId="0" applyNumberFormat="1" applyFont="1" applyFill="1" applyBorder="1" applyAlignment="1">
      <x:alignment vertical="center" wrapText="1"/>
    </x:xf>
    <x:xf numFmtId="0" fontId="1" fillId="8" borderId="16" xfId="0" applyNumberFormat="1" applyFont="1" applyFill="1" applyBorder="1" applyAlignment="1">
      <x:alignment vertical="center" wrapText="1"/>
    </x:xf>
    <x:xf numFmtId="0" fontId="7" fillId="8" borderId="11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8" borderId="11" xfId="0" applyNumberFormat="1" applyFont="1" applyFill="1" applyBorder="1" applyAlignment="1">
      <x:alignment horizontal="center" vertical="center" wrapText="1"/>
    </x:xf>
    <x:xf numFmtId="0" fontId="7" fillId="8" borderId="14" xfId="0" applyNumberFormat="1" applyFont="1" applyFill="1" applyBorder="1" applyAlignment="1">
      <x:alignment horizontal="center" vertical="center" wrapText="1"/>
    </x:xf>
    <x:xf numFmtId="0" fontId="7" fillId="8" borderId="16" xfId="0" applyNumberFormat="1" applyFont="1" applyFill="1" applyBorder="1" applyAlignment="1">
      <x:alignment horizontal="center" vertical="center" wrapText="1"/>
    </x:xf>
    <x:xf numFmtId="0" fontId="1" fillId="9" borderId="11" xfId="0" applyNumberFormat="1" applyFont="1" applyFill="1" applyBorder="1" applyAlignment="1">
      <x:alignment vertical="center" wrapText="1"/>
    </x:xf>
    <x:xf numFmtId="0" fontId="1" fillId="9" borderId="14" xfId="0" applyNumberFormat="1" applyFont="1" applyFill="1" applyBorder="1" applyAlignment="1">
      <x:alignment vertical="center" wrapText="1"/>
    </x:xf>
    <x:xf numFmtId="0" fontId="1" fillId="9" borderId="16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0" fontId="8" fillId="9" borderId="16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horizontal="center" vertical="center" wrapText="1"/>
    </x:xf>
    <x:xf numFmtId="0" fontId="8" fillId="9" borderId="14" xfId="0" applyNumberFormat="1" applyFont="1" applyFill="1" applyBorder="1" applyAlignment="1">
      <x:alignment horizontal="center" vertical="center" wrapText="1"/>
    </x:xf>
    <x:xf numFmtId="0" fontId="8" fillId="9" borderId="16" xfId="0" applyNumberFormat="1" applyFont="1" applyFill="1" applyBorder="1" applyAlignment="1">
      <x:alignment horizontal="center" vertical="center" wrapText="1"/>
    </x:xf>
    <x:xf numFmtId="0" fontId="1" fillId="10" borderId="11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" fillId="10" borderId="16" xfId="0" applyNumberFormat="1" applyFont="1" applyFill="1" applyBorder="1" applyAlignment="1">
      <x:alignment vertical="center" wrapText="1"/>
    </x:xf>
    <x:xf numFmtId="0" fontId="9" fillId="10" borderId="11" xfId="0" applyNumberFormat="1" applyFont="1" applyFill="1" applyBorder="1" applyAlignment="1">
      <x:alignment vertical="center" wrapText="1"/>
    </x:xf>
    <x:xf numFmtId="0" fontId="9" fillId="10" borderId="14" xfId="0" applyNumberFormat="1" applyFont="1" applyFill="1" applyBorder="1" applyAlignment="1">
      <x:alignment vertical="center" wrapText="1"/>
    </x:xf>
    <x:xf numFmtId="0" fontId="9" fillId="10" borderId="16" xfId="0" applyNumberFormat="1" applyFont="1" applyFill="1" applyBorder="1" applyAlignment="1">
      <x:alignment vertical="center" wrapText="1"/>
    </x:xf>
    <x:xf numFmtId="0" fontId="9" fillId="10" borderId="11" xfId="0" applyNumberFormat="1" applyFont="1" applyFill="1" applyBorder="1" applyAlignment="1">
      <x:alignment horizontal="center" vertical="center" wrapText="1"/>
    </x:xf>
    <x:xf numFmtId="0" fontId="9" fillId="10" borderId="14" xfId="0" applyNumberFormat="1" applyFont="1" applyFill="1" applyBorder="1" applyAlignment="1">
      <x:alignment horizontal="center" vertical="center" wrapText="1"/>
    </x:xf>
    <x:xf numFmtId="0" fontId="9" fillId="10" borderId="16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19" xfId="0" applyNumberFormat="1" applyFont="1" applyFill="1" applyBorder="1"/>
    <x:xf numFmtId="0" fontId="10" fillId="11" borderId="20" xfId="0" applyNumberFormat="1" applyFont="1" applyFill="1" applyBorder="1"/>
    <x:xf numFmtId="0" fontId="10" fillId="11" borderId="21" xfId="0" applyNumberFormat="1" applyFont="1" applyFill="1" applyBorder="1"/>
    <x:xf numFmtId="0" fontId="10" fillId="11" borderId="19" xfId="0" applyNumberFormat="1" applyFont="1" applyFill="1" applyBorder="1" applyAlignment="1">
      <x:alignment wrapText="1"/>
    </x:xf>
    <x:xf numFmtId="0" fontId="10" fillId="11" borderId="20" xfId="0" applyNumberFormat="1" applyFont="1" applyFill="1" applyBorder="1" applyAlignment="1">
      <x:alignment wrapText="1"/>
    </x:xf>
    <x:xf numFmtId="0" fontId="10" fillId="11" borderId="21" xfId="0" applyNumberFormat="1" applyFont="1" applyFill="1" applyBorder="1" applyAlignment="1">
      <x:alignment wrapText="1"/>
    </x:xf>
    <x:xf numFmtId="0" fontId="10" fillId="11" borderId="19" xfId="0" applyNumberFormat="1" applyFont="1" applyFill="1" applyBorder="1" applyAlignment="1">
      <x:alignment horizontal="center" wrapText="1"/>
    </x:xf>
    <x:xf numFmtId="0" fontId="10" fillId="11" borderId="20" xfId="0" applyNumberFormat="1" applyFont="1" applyFill="1" applyBorder="1" applyAlignment="1">
      <x:alignment horizontal="center" wrapText="1"/>
    </x:xf>
    <x:xf numFmtId="0" fontId="10" fillId="11" borderId="21" xfId="0" applyNumberFormat="1" applyFont="1" applyFill="1" applyBorder="1" applyAlignment="1">
      <x:alignment horizontal="center" wrapText="1"/>
    </x:xf>
    <x:xf numFmtId="0" fontId="10" fillId="11" borderId="19" xfId="0" applyNumberFormat="1" applyFont="1" applyFill="1" applyBorder="1" applyAlignment="1">
      <x:alignment horizontal="center" vertical="center" wrapText="1"/>
    </x:xf>
    <x:xf numFmtId="0" fontId="10" fillId="11" borderId="20" xfId="0" applyNumberFormat="1" applyFont="1" applyFill="1" applyBorder="1" applyAlignment="1">
      <x:alignment horizontal="center" vertical="center" wrapText="1"/>
    </x:xf>
    <x:xf numFmtId="0" fontId="10" fillId="11" borderId="21" xfId="0" applyNumberFormat="1" applyFont="1" applyFill="1" applyBorder="1" applyAlignment="1">
      <x:alignment horizontal="center" vertical="center" wrapText="1"/>
    </x:xf>
    <x:xf numFmtId="0" fontId="10" fillId="5" borderId="19" xfId="0" applyNumberFormat="1" applyFont="1" applyFill="1" applyBorder="1" applyAlignment="1">
      <x:alignment horizontal="center" vertical="center" wrapText="1"/>
    </x:xf>
    <x:xf numFmtId="0" fontId="10" fillId="5" borderId="20" xfId="0" applyNumberFormat="1" applyFont="1" applyFill="1" applyBorder="1" applyAlignment="1">
      <x:alignment horizontal="center" vertical="center" wrapText="1"/>
    </x:xf>
    <x:xf numFmtId="0" fontId="10" fillId="5" borderId="21" xfId="0" applyNumberFormat="1" applyFont="1" applyFill="1" applyBorder="1" applyAlignment="1">
      <x:alignment horizontal="center" vertical="center" wrapText="1"/>
    </x:xf>
    <x:xf numFmtId="0" fontId="11" fillId="5" borderId="19" xfId="0" applyNumberFormat="1" applyFont="1" applyFill="1" applyBorder="1" applyAlignment="1">
      <x:alignment horizontal="center" vertical="center" wrapText="1"/>
    </x:xf>
    <x:xf numFmtId="0" fontId="11" fillId="5" borderId="20" xfId="0" applyNumberFormat="1" applyFont="1" applyFill="1" applyBorder="1" applyAlignment="1">
      <x:alignment horizontal="center" vertical="center" wrapText="1"/>
    </x:xf>
    <x:xf numFmtId="0" fontId="11" fillId="5" borderId="21" xfId="0" applyNumberFormat="1" applyFont="1" applyFill="1" applyBorder="1" applyAlignment="1">
      <x:alignment horizontal="center" vertical="center" wrapText="1"/>
    </x:xf>
    <x:xf numFmtId="0" fontId="12" fillId="5" borderId="0" xfId="0" applyNumberFormat="1" applyFont="1" applyFill="1" applyBorder="1"/>
    <x:xf numFmtId="0" fontId="11" fillId="5" borderId="18" xfId="0" applyNumberFormat="1" applyFont="1" applyFill="1" applyBorder="1" applyAlignment="1">
      <x:alignment horizontal="center" vertical="center" wrapText="1"/>
    </x:xf>
    <x:xf numFmtId="0" fontId="11" fillId="5" borderId="22" xfId="0" applyNumberFormat="1" applyFont="1" applyFill="1" applyBorder="1" applyAlignment="1">
      <x:alignment horizontal="center" vertical="center" wrapText="1"/>
    </x:xf>
    <x:xf numFmtId="0" fontId="11" fillId="5" borderId="23" xfId="0" applyNumberFormat="1" applyFont="1" applyFill="1" applyBorder="1" applyAlignment="1">
      <x:alignment horizontal="center" vertical="center" wrapText="1"/>
    </x:xf>
    <x:xf numFmtId="0" fontId="12" fillId="5" borderId="9" xfId="0" applyNumberFormat="1" applyFont="1" applyFill="1" applyBorder="1"/>
    <x:xf numFmtId="0" fontId="12" fillId="5" borderId="24" xfId="0" applyNumberFormat="1" applyFont="1" applyFill="1" applyBorder="1"/>
    <x:xf numFmtId="0" fontId="12" fillId="5" borderId="25" xfId="0" applyNumberFormat="1" applyFont="1" applyFill="1" applyBorder="1"/>
    <x:xf numFmtId="0" fontId="12" fillId="5" borderId="13" xfId="0" applyNumberFormat="1" applyFont="1" applyFill="1" applyBorder="1"/>
    <x:xf numFmtId="0" fontId="12" fillId="5" borderId="26" xfId="0" applyNumberFormat="1" applyFont="1" applyFill="1" applyBorder="1"/>
    <x:xf numFmtId="0" fontId="12" fillId="5" borderId="27" xfId="0" applyNumberFormat="1" applyFont="1" applyFill="1" applyBorder="1"/>
    <x:xf numFmtId="0" fontId="12" fillId="5" borderId="9" xfId="0" applyNumberFormat="1" applyFont="1" applyFill="1" applyBorder="1" applyAlignment="1">
      <x:alignment wrapText="1"/>
    </x:xf>
    <x:xf numFmtId="0" fontId="12" fillId="5" borderId="24" xfId="0" applyNumberFormat="1" applyFont="1" applyFill="1" applyBorder="1" applyAlignment="1">
      <x:alignment wrapText="1"/>
    </x:xf>
    <x:xf numFmtId="0" fontId="12" fillId="5" borderId="25" xfId="0" applyNumberFormat="1" applyFont="1" applyFill="1" applyBorder="1" applyAlignment="1">
      <x:alignment wrapText="1"/>
    </x:xf>
    <x:xf numFmtId="0" fontId="12" fillId="5" borderId="13" xfId="0" applyNumberFormat="1" applyFont="1" applyFill="1" applyBorder="1" applyAlignment="1">
      <x:alignment wrapText="1"/>
    </x:xf>
    <x:xf numFmtId="0" fontId="12" fillId="5" borderId="26" xfId="0" applyNumberFormat="1" applyFont="1" applyFill="1" applyBorder="1" applyAlignment="1">
      <x:alignment wrapText="1"/>
    </x:xf>
    <x:xf numFmtId="0" fontId="12" fillId="5" borderId="27" xfId="0" applyNumberFormat="1" applyFont="1" applyFill="1" applyBorder="1" applyAlignment="1">
      <x:alignment wrapText="1"/>
    </x:xf>
    <x:xf numFmtId="0" fontId="12" fillId="5" borderId="9" xfId="0" applyNumberFormat="1" applyFont="1" applyFill="1" applyBorder="1" applyAlignment="1">
      <x:alignment vertical="center" wrapText="1"/>
    </x:xf>
    <x:xf numFmtId="0" fontId="12" fillId="5" borderId="24" xfId="0" applyNumberFormat="1" applyFont="1" applyFill="1" applyBorder="1" applyAlignment="1">
      <x:alignment vertical="center" wrapText="1"/>
    </x:xf>
    <x:xf numFmtId="0" fontId="12" fillId="5" borderId="25" xfId="0" applyNumberFormat="1" applyFont="1" applyFill="1" applyBorder="1" applyAlignment="1">
      <x:alignment vertical="center" wrapText="1"/>
    </x:xf>
    <x:xf numFmtId="0" fontId="12" fillId="5" borderId="13" xfId="0" applyNumberFormat="1" applyFont="1" applyFill="1" applyBorder="1" applyAlignment="1">
      <x:alignment vertical="center" wrapText="1"/>
    </x:xf>
    <x:xf numFmtId="0" fontId="12" fillId="5" borderId="26" xfId="0" applyNumberFormat="1" applyFont="1" applyFill="1" applyBorder="1" applyAlignment="1">
      <x:alignment vertical="center" wrapText="1"/>
    </x:xf>
    <x:xf numFmtId="0" fontId="12" fillId="5" borderId="27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17" xfId="0" applyNumberFormat="1" applyFont="1" applyFill="1" applyBorder="1"/>
    <x:xf numFmtId="0" fontId="5" fillId="4" borderId="8" xfId="0" applyNumberFormat="1" applyFont="1" applyFill="1" applyBorder="1"/>
    <x:xf numFmtId="0" fontId="5" fillId="4" borderId="12" xfId="0" applyNumberFormat="1" applyFont="1" applyFill="1" applyBorder="1"/>
    <x:xf numFmtId="0" fontId="5" fillId="4" borderId="17" xfId="0" applyNumberFormat="1" applyFont="1" applyFill="1" applyBorder="1" applyAlignment="1">
      <x:alignment vertical="center"/>
    </x:xf>
    <x:xf numFmtId="0" fontId="5" fillId="4" borderId="8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/>
    <x:xf numFmtId="0" fontId="1" fillId="8" borderId="18" xfId="0" applyNumberFormat="1" applyFont="1" applyFill="1" applyBorder="1"/>
    <x:xf numFmtId="0" fontId="1" fillId="8" borderId="22" xfId="0" applyNumberFormat="1" applyFont="1" applyFill="1" applyBorder="1"/>
    <x:xf numFmtId="0" fontId="1" fillId="8" borderId="16" xfId="0" applyNumberFormat="1" applyFont="1" applyFill="1" applyBorder="1"/>
    <x:xf numFmtId="0" fontId="1" fillId="8" borderId="9" xfId="0" applyNumberFormat="1" applyFont="1" applyFill="1" applyBorder="1"/>
    <x:xf numFmtId="0" fontId="1" fillId="8" borderId="24" xfId="0" applyNumberFormat="1" applyFont="1" applyFill="1" applyBorder="1"/>
    <x:xf numFmtId="0" fontId="1" fillId="8" borderId="7" xfId="0" applyNumberFormat="1" applyFont="1" applyFill="1" applyBorder="1"/>
    <x:xf numFmtId="0" fontId="1" fillId="8" borderId="13" xfId="0" applyNumberFormat="1" applyFont="1" applyFill="1" applyBorder="1"/>
    <x:xf numFmtId="0" fontId="1" fillId="8" borderId="26" xfId="0" applyNumberFormat="1" applyFont="1" applyFill="1" applyBorder="1"/>
    <x:xf numFmtId="0" fontId="1" fillId="8" borderId="11" xfId="0" applyNumberFormat="1" applyFont="1" applyFill="1" applyBorder="1"/>
    <x:xf numFmtId="0" fontId="1" fillId="8" borderId="18" xfId="0" applyNumberFormat="1" applyFont="1" applyFill="1" applyBorder="1" applyAlignment="1">
      <x:alignment wrapText="1"/>
    </x:xf>
    <x:xf numFmtId="0" fontId="1" fillId="8" borderId="22" xfId="0" applyNumberFormat="1" applyFont="1" applyFill="1" applyBorder="1" applyAlignment="1">
      <x:alignment wrapText="1"/>
    </x:xf>
    <x:xf numFmtId="0" fontId="1" fillId="8" borderId="16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wrapText="1"/>
    </x:xf>
    <x:xf numFmtId="0" fontId="1" fillId="8" borderId="24" xfId="0" applyNumberFormat="1" applyFont="1" applyFill="1" applyBorder="1" applyAlignment="1">
      <x:alignment wrapText="1"/>
    </x:xf>
    <x:xf numFmtId="0" fontId="1" fillId="8" borderId="7" xfId="0" applyNumberFormat="1" applyFont="1" applyFill="1" applyBorder="1" applyAlignment="1">
      <x:alignment wrapText="1"/>
    </x:xf>
    <x:xf numFmtId="0" fontId="1" fillId="8" borderId="13" xfId="0" applyNumberFormat="1" applyFont="1" applyFill="1" applyBorder="1" applyAlignment="1">
      <x:alignment wrapText="1"/>
    </x:xf>
    <x:xf numFmtId="0" fontId="1" fillId="8" borderId="26" xfId="0" applyNumberFormat="1" applyFont="1" applyFill="1" applyBorder="1" applyAlignment="1">
      <x:alignment wrapText="1"/>
    </x:xf>
    <x:xf numFmtId="0" fontId="1" fillId="8" borderId="11" xfId="0" applyNumberFormat="1" applyFont="1" applyFill="1" applyBorder="1" applyAlignment="1">
      <x:alignment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22" xfId="0" applyNumberFormat="1" applyFont="1" applyFill="1" applyBorder="1" applyAlignment="1">
      <x:alignment vertical="center" wrapText="1"/>
    </x:xf>
    <x:xf numFmtId="0" fontId="1" fillId="8" borderId="9" xfId="0" applyNumberFormat="1" applyFont="1" applyFill="1" applyBorder="1" applyAlignment="1">
      <x:alignment vertical="center" wrapText="1"/>
    </x:xf>
    <x:xf numFmtId="0" fontId="1" fillId="8" borderId="24" xfId="0" applyNumberFormat="1" applyFont="1" applyFill="1" applyBorder="1" applyAlignment="1">
      <x:alignment vertical="center" wrapText="1"/>
    </x:xf>
    <x:xf numFmtId="0" fontId="1" fillId="8" borderId="7" xfId="0" applyNumberFormat="1" applyFont="1" applyFill="1" applyBorder="1" applyAlignment="1">
      <x:alignment vertical="center" wrapText="1"/>
    </x:xf>
    <x:xf numFmtId="0" fontId="1" fillId="8" borderId="13" xfId="0" applyNumberFormat="1" applyFont="1" applyFill="1" applyBorder="1" applyAlignment="1">
      <x:alignment vertical="center" wrapText="1"/>
    </x:xf>
    <x:xf numFmtId="0" fontId="1" fillId="8" borderId="26" xfId="0" applyNumberFormat="1" applyFont="1" applyFill="1" applyBorder="1" applyAlignment="1">
      <x:alignment vertical="center" wrapText="1"/>
    </x:xf>
    <x:xf numFmtId="200" fontId="1" fillId="8" borderId="18" xfId="0" applyNumberFormat="1" applyFont="1" applyFill="1" applyBorder="1" applyAlignment="1">
      <x:alignment vertical="center" wrapText="1"/>
    </x:xf>
    <x:xf numFmtId="0" fontId="12" fillId="5" borderId="18" xfId="0" applyNumberFormat="1" applyFont="1" applyFill="1" applyBorder="1"/>
    <x:xf numFmtId="0" fontId="12" fillId="5" borderId="22" xfId="0" applyNumberFormat="1" applyFont="1" applyFill="1" applyBorder="1"/>
    <x:xf numFmtId="0" fontId="12" fillId="5" borderId="16" xfId="0" applyNumberFormat="1" applyFont="1" applyFill="1" applyBorder="1"/>
    <x:xf numFmtId="0" fontId="12" fillId="5" borderId="7" xfId="0" applyNumberFormat="1" applyFont="1" applyFill="1" applyBorder="1"/>
    <x:xf numFmtId="0" fontId="12" fillId="5" borderId="11" xfId="0" applyNumberFormat="1" applyFont="1" applyFill="1" applyBorder="1"/>
    <x:xf numFmtId="0" fontId="12" fillId="5" borderId="18" xfId="0" applyNumberFormat="1" applyFont="1" applyFill="1" applyBorder="1" applyAlignment="1">
      <x:alignment wrapText="1"/>
    </x:xf>
    <x:xf numFmtId="0" fontId="12" fillId="5" borderId="22" xfId="0" applyNumberFormat="1" applyFont="1" applyFill="1" applyBorder="1" applyAlignment="1">
      <x:alignment wrapText="1"/>
    </x:xf>
    <x:xf numFmtId="0" fontId="12" fillId="5" borderId="16" xfId="0" applyNumberFormat="1" applyFont="1" applyFill="1" applyBorder="1" applyAlignment="1">
      <x:alignment wrapText="1"/>
    </x:xf>
    <x:xf numFmtId="0" fontId="12" fillId="5" borderId="7" xfId="0" applyNumberFormat="1" applyFont="1" applyFill="1" applyBorder="1" applyAlignment="1">
      <x:alignment wrapText="1"/>
    </x:xf>
    <x:xf numFmtId="0" fontId="12" fillId="5" borderId="11" xfId="0" applyNumberFormat="1" applyFont="1" applyFill="1" applyBorder="1" applyAlignment="1">
      <x:alignment wrapText="1"/>
    </x:xf>
    <x:xf numFmtId="0" fontId="12" fillId="5" borderId="18" xfId="0" applyNumberFormat="1" applyFont="1" applyFill="1" applyBorder="1" applyAlignment="1">
      <x:alignment vertical="center" wrapText="1"/>
    </x:xf>
    <x:xf numFmtId="0" fontId="12" fillId="5" borderId="22" xfId="0" applyNumberFormat="1" applyFont="1" applyFill="1" applyBorder="1" applyAlignment="1">
      <x:alignment vertical="center" wrapText="1"/>
    </x:xf>
    <x:xf numFmtId="0" fontId="12" fillId="5" borderId="16" xfId="0" applyNumberFormat="1" applyFont="1" applyFill="1" applyBorder="1" applyAlignment="1">
      <x:alignment vertical="center" wrapText="1"/>
    </x:xf>
    <x:xf numFmtId="0" fontId="12" fillId="5" borderId="7" xfId="0" applyNumberFormat="1" applyFont="1" applyFill="1" applyBorder="1" applyAlignment="1">
      <x:alignment vertical="center" wrapText="1"/>
    </x:xf>
    <x:xf numFmtId="0" fontId="12" fillId="5" borderId="11" xfId="0" applyNumberFormat="1" applyFont="1" applyFill="1" applyBorder="1" applyAlignment="1">
      <x:alignment vertical="center" wrapText="1"/>
    </x:xf>
    <x:xf numFmtId="0" fontId="12" fillId="8" borderId="18" xfId="0" applyNumberFormat="1" applyFont="1" applyFill="1" applyBorder="1" applyAlignment="1">
      <x:alignment vertical="center" wrapText="1"/>
    </x:xf>
    <x:xf numFmtId="0" fontId="12" fillId="8" borderId="22" xfId="0" applyNumberFormat="1" applyFont="1" applyFill="1" applyBorder="1" applyAlignment="1">
      <x:alignment vertical="center" wrapText="1"/>
    </x:xf>
    <x:xf numFmtId="0" fontId="12" fillId="8" borderId="9" xfId="0" applyNumberFormat="1" applyFont="1" applyFill="1" applyBorder="1" applyAlignment="1">
      <x:alignment vertical="center" wrapText="1"/>
    </x:xf>
    <x:xf numFmtId="0" fontId="12" fillId="8" borderId="24" xfId="0" applyNumberFormat="1" applyFont="1" applyFill="1" applyBorder="1" applyAlignment="1">
      <x:alignment vertical="center" wrapText="1"/>
    </x:xf>
    <x:xf numFmtId="0" fontId="12" fillId="8" borderId="13" xfId="0" applyNumberFormat="1" applyFont="1" applyFill="1" applyBorder="1" applyAlignment="1">
      <x:alignment vertical="center" wrapText="1"/>
    </x:xf>
    <x:xf numFmtId="0" fontId="12" fillId="8" borderId="26" xfId="0" applyNumberFormat="1" applyFont="1" applyFill="1" applyBorder="1" applyAlignment="1">
      <x:alignment vertical="center" wrapText="1"/>
    </x:xf>
    <x:xf numFmtId="0" fontId="12" fillId="8" borderId="16" xfId="0" applyNumberFormat="1" applyFont="1" applyFill="1" applyBorder="1" applyAlignment="1">
      <x:alignment vertical="center" wrapText="1"/>
    </x:xf>
    <x:xf numFmtId="0" fontId="12" fillId="8" borderId="7" xfId="0" applyNumberFormat="1" applyFont="1" applyFill="1" applyBorder="1" applyAlignment="1">
      <x:alignment vertical="center" wrapText="1"/>
    </x:xf>
    <x:xf numFmtId="0" fontId="12" fillId="8" borderId="11" xfId="0" applyNumberFormat="1" applyFont="1" applyFill="1" applyBorder="1" applyAlignment="1">
      <x:alignment vertical="center" wrapText="1"/>
    </x:xf>
    <x:xf numFmtId="0" fontId="12" fillId="9" borderId="22" xfId="0" applyNumberFormat="1" applyFont="1" applyFill="1" applyBorder="1" applyAlignment="1">
      <x:alignment vertical="center" wrapText="1"/>
    </x:xf>
    <x:xf numFmtId="0" fontId="12" fillId="9" borderId="24" xfId="0" applyNumberFormat="1" applyFont="1" applyFill="1" applyBorder="1" applyAlignment="1">
      <x:alignment vertical="center" wrapText="1"/>
    </x:xf>
    <x:xf numFmtId="0" fontId="12" fillId="9" borderId="26" xfId="0" applyNumberFormat="1" applyFont="1" applyFill="1" applyBorder="1" applyAlignment="1">
      <x:alignment vertical="center" wrapText="1"/>
    </x:xf>
    <x:xf numFmtId="200" fontId="12" fillId="8" borderId="18" xfId="0" applyNumberFormat="1" applyFont="1" applyFill="1" applyBorder="1" applyAlignment="1">
      <x:alignment vertical="center" wrapText="1"/>
    </x:xf>
    <x:xf numFmtId="200" fontId="12" fillId="8" borderId="9" xfId="0" applyNumberFormat="1" applyFont="1" applyFill="1" applyBorder="1" applyAlignment="1">
      <x:alignment vertical="center" wrapText="1"/>
    </x:xf>
    <x:xf numFmtId="200" fontId="12" fillId="8" borderId="13" xfId="0" applyNumberFormat="1" applyFont="1" applyFill="1" applyBorder="1" applyAlignment="1">
      <x:alignment vertical="center" wrapText="1"/>
    </x:xf>
    <x:xf numFmtId="201" fontId="12" fillId="8" borderId="22" xfId="0" applyNumberFormat="1" applyFont="1" applyFill="1" applyBorder="1" applyAlignment="1">
      <x:alignment vertical="center" wrapText="1"/>
    </x:xf>
    <x:xf numFmtId="201" fontId="12" fillId="8" borderId="24" xfId="0" applyNumberFormat="1" applyFont="1" applyFill="1" applyBorder="1" applyAlignment="1">
      <x:alignment vertical="center" wrapText="1"/>
    </x:xf>
    <x:xf numFmtId="201" fontId="12" fillId="8" borderId="26" xfId="0" applyNumberFormat="1" applyFont="1" applyFill="1" applyBorder="1" applyAlignment="1">
      <x:alignment vertical="center" wrapText="1"/>
    </x:xf>
    <x:xf numFmtId="202" fontId="12" fillId="9" borderId="22" xfId="0" applyNumberFormat="1" applyFont="1" applyFill="1" applyBorder="1" applyAlignment="1">
      <x:alignment vertical="center" wrapText="1"/>
    </x:xf>
    <x:xf numFmtId="202" fontId="12" fillId="9" borderId="24" xfId="0" applyNumberFormat="1" applyFont="1" applyFill="1" applyBorder="1" applyAlignment="1">
      <x:alignment vertical="center" wrapText="1"/>
    </x:xf>
    <x:xf numFmtId="202" fontId="12" fillId="9" borderId="26" xfId="0" applyNumberFormat="1" applyFont="1" applyFill="1" applyBorder="1" applyAlignment="1">
      <x:alignment vertical="center" wrapText="1"/>
    </x:xf>
    <x:xf numFmtId="202" fontId="12" fillId="8" borderId="22" xfId="0" applyNumberFormat="1" applyFont="1" applyFill="1" applyBorder="1" applyAlignment="1">
      <x:alignment vertical="center" wrapText="1"/>
    </x:xf>
    <x:xf numFmtId="202" fontId="12" fillId="8" borderId="24" xfId="0" applyNumberFormat="1" applyFont="1" applyFill="1" applyBorder="1" applyAlignment="1">
      <x:alignment vertical="center" wrapText="1"/>
    </x:xf>
    <x:xf numFmtId="202" fontId="12" fillId="8" borderId="26" xfId="0" applyNumberFormat="1" applyFont="1" applyFill="1" applyBorder="1" applyAlignment="1">
      <x:alignment vertical="center" wrapText="1"/>
    </x:xf>
    <x:xf numFmtId="203" fontId="12" fillId="8" borderId="22" xfId="0" applyNumberFormat="1" applyFont="1" applyFill="1" applyBorder="1" applyAlignment="1">
      <x:alignment vertical="center" wrapText="1"/>
    </x:xf>
    <x:xf numFmtId="203" fontId="12" fillId="8" borderId="24" xfId="0" applyNumberFormat="1" applyFont="1" applyFill="1" applyBorder="1" applyAlignment="1">
      <x:alignment vertical="center" wrapText="1"/>
    </x:xf>
    <x:xf numFmtId="203" fontId="12" fillId="8" borderId="26" xfId="0" applyNumberFormat="1" applyFont="1" applyFill="1" applyBorder="1" applyAlignment="1">
      <x:alignment vertical="center" wrapText="1"/>
    </x:xf>
    <x:xf numFmtId="204" fontId="12" fillId="8" borderId="16" xfId="0" applyNumberFormat="1" applyFont="1" applyFill="1" applyBorder="1" applyAlignment="1">
      <x:alignment vertical="center" wrapText="1"/>
    </x:xf>
    <x:xf numFmtId="204" fontId="12" fillId="8" borderId="7" xfId="0" applyNumberFormat="1" applyFont="1" applyFill="1" applyBorder="1" applyAlignment="1">
      <x:alignment vertical="center" wrapText="1"/>
    </x:xf>
    <x:xf numFmtId="204" fontId="12" fillId="8" borderId="11" xfId="0" applyNumberFormat="1" applyFont="1" applyFill="1" applyBorder="1" applyAlignment="1">
      <x:alignment vertical="center" wrapText="1"/>
    </x:xf>
    <x:xf numFmtId="200" fontId="12" fillId="8" borderId="22" xfId="0" applyNumberFormat="1" applyFont="1" applyFill="1" applyBorder="1" applyAlignment="1">
      <x:alignment vertical="center" wrapText="1"/>
    </x:xf>
    <x:xf numFmtId="200" fontId="12" fillId="8" borderId="24" xfId="0" applyNumberFormat="1" applyFont="1" applyFill="1" applyBorder="1" applyAlignment="1">
      <x:alignment vertical="center" wrapText="1"/>
    </x:xf>
    <x:xf numFmtId="200" fontId="12" fillId="8" borderId="26" xfId="0" applyNumberFormat="1" applyFont="1" applyFill="1" applyBorder="1" applyAlignment="1">
      <x:alignment vertical="center" wrapText="1"/>
    </x:xf>
    <x:xf numFmtId="205" fontId="12" fillId="8" borderId="22" xfId="0" applyNumberFormat="1" applyFont="1" applyFill="1" applyBorder="1" applyAlignment="1">
      <x:alignment vertical="center" wrapText="1"/>
    </x:xf>
    <x:xf numFmtId="205" fontId="12" fillId="8" borderId="24" xfId="0" applyNumberFormat="1" applyFont="1" applyFill="1" applyBorder="1" applyAlignment="1">
      <x:alignment vertical="center" wrapText="1"/>
    </x:xf>
    <x:xf numFmtId="205" fontId="12" fillId="8" borderId="26" xfId="0" applyNumberFormat="1" applyFont="1" applyFill="1" applyBorder="1" applyAlignment="1">
      <x:alignment vertical="center" wrapText="1"/>
    </x:xf>
    <x:xf numFmtId="204" fontId="12" fillId="8" borderId="22" xfId="0" applyNumberFormat="1" applyFont="1" applyFill="1" applyBorder="1" applyAlignment="1">
      <x:alignment vertical="center" wrapText="1"/>
    </x:xf>
    <x:xf numFmtId="204" fontId="12" fillId="8" borderId="24" xfId="0" applyNumberFormat="1" applyFont="1" applyFill="1" applyBorder="1" applyAlignment="1">
      <x:alignment vertical="center" wrapText="1"/>
    </x:xf>
    <x:xf numFmtId="204" fontId="12" fillId="8" borderId="26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4" fillId="6" borderId="0" xfId="0" applyNumberFormat="1" applyFont="1" applyFill="1" applyBorder="1"/>
    <x:xf numFmtId="0" fontId="14" fillId="6" borderId="11" xfId="0" applyNumberFormat="1" applyFont="1" applyFill="1" applyBorder="1"/>
    <x:xf numFmtId="0" fontId="14" fillId="6" borderId="12" xfId="0" applyNumberFormat="1" applyFont="1" applyFill="1" applyBorder="1"/>
    <x:xf numFmtId="0" fontId="14" fillId="6" borderId="13" xfId="0" applyNumberFormat="1" applyFont="1" applyFill="1" applyBorder="1"/>
    <x:xf numFmtId="0" fontId="14" fillId="6" borderId="16" xfId="0" applyNumberFormat="1" applyFont="1" applyFill="1" applyBorder="1"/>
    <x:xf numFmtId="0" fontId="14" fillId="6" borderId="17" xfId="0" applyNumberFormat="1" applyFont="1" applyFill="1" applyBorder="1"/>
    <x:xf numFmtId="0" fontId="14" fillId="6" borderId="18" xfId="0" applyNumberFormat="1" applyFont="1" applyFill="1" applyBorder="1"/>
    <x:xf numFmtId="0" fontId="14" fillId="6" borderId="11" xfId="0" applyNumberFormat="1" applyFont="1" applyFill="1" applyBorder="1" applyAlignment="1">
      <x:alignment vertical="center"/>
    </x:xf>
    <x:xf numFmtId="0" fontId="14" fillId="6" borderId="12" xfId="0" applyNumberFormat="1" applyFont="1" applyFill="1" applyBorder="1" applyAlignment="1">
      <x:alignment vertical="center"/>
    </x:xf>
    <x:xf numFmtId="0" fontId="14" fillId="6" borderId="13" xfId="0" applyNumberFormat="1" applyFont="1" applyFill="1" applyBorder="1" applyAlignment="1">
      <x:alignment vertical="center"/>
    </x:xf>
    <x:xf numFmtId="0" fontId="14" fillId="6" borderId="16" xfId="0" applyNumberFormat="1" applyFont="1" applyFill="1" applyBorder="1" applyAlignment="1">
      <x:alignment vertical="center"/>
    </x:xf>
    <x:xf numFmtId="0" fontId="14" fillId="6" borderId="17" xfId="0" applyNumberFormat="1" applyFont="1" applyFill="1" applyBorder="1" applyAlignment="1">
      <x:alignment vertical="center"/>
    </x:xf>
    <x:xf numFmtId="0" fontId="14" fillId="6" borderId="18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vertical="center"/>
    </x:xf>
    <x:xf numFmtId="0" fontId="5" fillId="4" borderId="1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12" xfId="0" applyNumberFormat="1" applyFont="1" applyFill="1" applyBorder="1" applyAlignment="1">
      <x:alignment horizontal="center"/>
    </x:xf>
    <x:xf numFmtId="0" fontId="5" fillId="4" borderId="1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12" xfId="0" applyNumberFormat="1" applyFont="1" applyFill="1" applyBorder="1" applyAlignment="1">
      <x:alignment horizontal="center" vertical="center"/>
    </x:xf>
    <x:xf numFmtId="0" fontId="5" fillId="10" borderId="8" xfId="0" applyNumberFormat="1" applyFont="1" applyFill="1" applyBorder="1" applyAlignment="1">
      <x:alignment horizontal="center" vertical="center"/>
    </x:xf>
    <x:xf numFmtId="0" fontId="9" fillId="10" borderId="8" xfId="0" applyNumberFormat="1" applyFont="1" applyFill="1" applyBorder="1" applyAlignment="1">
      <x:alignment horizontal="center" vertical="center"/>
    </x:xf>
    <x:xf numFmtId="0" fontId="5" fillId="7" borderId="12" xfId="0" applyNumberFormat="1" applyFont="1" applyFill="1" applyBorder="1" applyAlignment="1">
      <x:alignment horizontal="center" vertical="center"/>
    </x:xf>
    <x:xf numFmtId="0" fontId="7" fillId="7" borderId="12" xfId="0" applyNumberFormat="1" applyFont="1" applyFill="1" applyBorder="1" applyAlignment="1">
      <x:alignment horizontal="center" vertical="center"/>
    </x:xf>
    <x:xf numFmtId="0" fontId="1" fillId="5" borderId="22" xfId="0" applyNumberFormat="1" applyFont="1" applyFill="1" applyBorder="1"/>
    <x:xf numFmtId="0" fontId="1" fillId="5" borderId="9" xfId="0" applyNumberFormat="1" applyFont="1" applyFill="1" applyBorder="1"/>
    <x:xf numFmtId="0" fontId="1" fillId="5" borderId="24" xfId="0" applyNumberFormat="1" applyFont="1" applyFill="1" applyBorder="1"/>
    <x:xf numFmtId="0" fontId="1" fillId="5" borderId="7" xfId="0" applyNumberFormat="1" applyFont="1" applyFill="1" applyBorder="1"/>
    <x:xf numFmtId="0" fontId="1" fillId="5" borderId="26" xfId="0" applyNumberFormat="1" applyFont="1" applyFill="1" applyBorder="1"/>
    <x:xf numFmtId="0" fontId="1" fillId="5" borderId="22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24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26" xfId="0" applyNumberFormat="1" applyFont="1" applyFill="1" applyBorder="1" applyAlignment="1">
      <x:alignment wrapText="1"/>
    </x:xf>
    <x:xf numFmtId="0" fontId="1" fillId="5" borderId="22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24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26" xfId="0" applyNumberFormat="1" applyFont="1" applyFill="1" applyBorder="1" applyAlignment="1">
      <x:alignment vertical="center" wrapText="1"/>
    </x:xf>
    <x:xf numFmtId="0" fontId="16" fillId="5" borderId="11" xfId="0" applyNumberFormat="1" applyFont="1" applyFill="1" applyBorder="1"/>
    <x:xf numFmtId="0" fontId="16" fillId="5" borderId="12" xfId="0" applyNumberFormat="1" applyFont="1" applyFill="1" applyBorder="1"/>
    <x:xf numFmtId="0" fontId="16" fillId="5" borderId="13" xfId="0" applyNumberFormat="1" applyFont="1" applyFill="1" applyBorder="1"/>
    <x:xf numFmtId="0" fontId="16" fillId="5" borderId="11" xfId="0" applyNumberFormat="1" applyFont="1" applyFill="1" applyBorder="1" applyAlignment="1">
      <x:alignment vertical="center"/>
    </x:xf>
    <x:xf numFmtId="0" fontId="16" fillId="5" borderId="12" xfId="0" applyNumberFormat="1" applyFont="1" applyFill="1" applyBorder="1" applyAlignment="1">
      <x:alignment vertical="center"/>
    </x:xf>
    <x:xf numFmtId="0" fontId="16" fillId="5" borderId="13" xfId="0" applyNumberFormat="1" applyFont="1" applyFill="1" applyBorder="1" applyAlignment="1">
      <x:alignment vertical="center"/>
    </x:xf>
    <x:xf numFmtId="0" fontId="17" fillId="5" borderId="14" xfId="0" applyNumberFormat="1" applyFont="1" applyFill="1" applyBorder="1"/>
    <x:xf numFmtId="0" fontId="17" fillId="5" borderId="0" xfId="0" applyNumberFormat="1" applyFont="1" applyFill="1" applyBorder="1"/>
    <x:xf numFmtId="0" fontId="17" fillId="5" borderId="15" xfId="0" applyNumberFormat="1" applyFont="1" applyFill="1" applyBorder="1"/>
    <x:xf numFmtId="0" fontId="17" fillId="5" borderId="14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vertical="center"/>
    </x:xf>
    <x:xf numFmtId="0" fontId="17" fillId="5" borderId="15" xfId="0" applyNumberFormat="1" applyFont="1" applyFill="1" applyBorder="1" applyAlignment="1">
      <x:alignment vertical="center"/>
    </x:xf>
    <x:xf numFmtId="0" fontId="18" fillId="5" borderId="16" xfId="0" applyNumberFormat="1" applyFont="1" applyFill="1" applyBorder="1"/>
    <x:xf numFmtId="0" fontId="18" fillId="5" borderId="17" xfId="0" applyNumberFormat="1" applyFont="1" applyFill="1" applyBorder="1"/>
    <x:xf numFmtId="0" fontId="18" fillId="5" borderId="18" xfId="0" applyNumberFormat="1" applyFont="1" applyFill="1" applyBorder="1"/>
    <x:xf numFmtId="0" fontId="18" fillId="5" borderId="16" xfId="0" applyNumberFormat="1" applyFont="1" applyFill="1" applyBorder="1" applyAlignment="1">
      <x:alignment vertical="center"/>
    </x:xf>
    <x:xf numFmtId="0" fontId="18" fillId="5" borderId="17" xfId="0" applyNumberFormat="1" applyFont="1" applyFill="1" applyBorder="1" applyAlignment="1">
      <x:alignment vertical="center"/>
    </x:xf>
    <x:xf numFmtId="0" fontId="18" fillId="5" borderId="18" xfId="0" applyNumberFormat="1" applyFont="1" applyFill="1" applyBorder="1" applyAlignment="1">
      <x:alignment vertical="center"/>
    </x:xf>
    <x:xf numFmtId="0" fontId="16" fillId="5" borderId="28" xfId="0" applyNumberFormat="1" applyFont="1" applyFill="1" applyBorder="1" applyAlignment="1">
      <x:alignment vertical="center"/>
    </x:xf>
    <x:xf numFmtId="0" fontId="17" fillId="5" borderId="29" xfId="0" applyNumberFormat="1" applyFont="1" applyFill="1" applyBorder="1" applyAlignment="1">
      <x:alignment vertical="center"/>
    </x:xf>
    <x:xf numFmtId="0" fontId="18" fillId="5" borderId="29" xfId="0" applyNumberFormat="1" applyFont="1" applyFill="1" applyBorder="1" applyAlignment="1">
      <x:alignment vertical="center"/>
    </x:xf>
    <x:xf numFmtId="0" fontId="19" fillId="5" borderId="14" xfId="0" applyNumberFormat="1" applyFont="1" applyFill="1" applyBorder="1"/>
    <x:xf numFmtId="0" fontId="19" fillId="5" borderId="0" xfId="0" applyNumberFormat="1" applyFont="1" applyFill="1" applyBorder="1"/>
    <x:xf numFmtId="0" fontId="19" fillId="5" borderId="15" xfId="0" applyNumberFormat="1" applyFont="1" applyFill="1" applyBorder="1"/>
    <x:xf numFmtId="0" fontId="19" fillId="5" borderId="14" xfId="0" applyNumberFormat="1" applyFont="1" applyFill="1" applyBorder="1" applyAlignment="1">
      <x:alignment vertical="center"/>
    </x:xf>
    <x:xf numFmtId="0" fontId="19" fillId="5" borderId="0" xfId="0" applyNumberFormat="1" applyFont="1" applyFill="1" applyBorder="1" applyAlignment="1">
      <x:alignment vertical="center"/>
    </x:xf>
    <x:xf numFmtId="0" fontId="19" fillId="5" borderId="15" xfId="0" applyNumberFormat="1" applyFont="1" applyFill="1" applyBorder="1" applyAlignment="1">
      <x:alignment vertical="center"/>
    </x:xf>
    <x:xf numFmtId="0" fontId="16" fillId="5" borderId="30" xfId="0" applyNumberFormat="1" applyFont="1" applyFill="1" applyBorder="1" applyAlignment="1">
      <x:alignment vertical="center"/>
    </x:xf>
    <x:xf numFmtId="0" fontId="19" fillId="5" borderId="31" xfId="0" applyNumberFormat="1" applyFont="1" applyFill="1" applyBorder="1" applyAlignment="1">
      <x:alignment vertical="center"/>
    </x:xf>
    <x:xf numFmtId="0" fontId="18" fillId="5" borderId="31" xfId="0" applyNumberFormat="1" applyFont="1" applyFill="1" applyBorder="1" applyAlignment="1">
      <x:alignment vertical="center"/>
    </x:xf>
    <x:xf numFmtId="0" fontId="20" fillId="5" borderId="14" xfId="0" applyNumberFormat="1" applyFont="1" applyFill="1" applyBorder="1"/>
    <x:xf numFmtId="0" fontId="20" fillId="5" borderId="0" xfId="0" applyNumberFormat="1" applyFont="1" applyFill="1" applyBorder="1"/>
    <x:xf numFmtId="0" fontId="20" fillId="5" borderId="15" xfId="0" applyNumberFormat="1" applyFont="1" applyFill="1" applyBorder="1"/>
    <x:xf numFmtId="0" fontId="20" fillId="5" borderId="14" xfId="0" applyNumberFormat="1" applyFont="1" applyFill="1" applyBorder="1" applyAlignment="1">
      <x:alignment vertical="center"/>
    </x:xf>
    <x:xf numFmtId="0" fontId="20" fillId="5" borderId="0" xfId="0" applyNumberFormat="1" applyFont="1" applyFill="1" applyBorder="1" applyAlignment="1">
      <x:alignment vertical="center"/>
    </x:xf>
    <x:xf numFmtId="0" fontId="20" fillId="5" borderId="15" xfId="0" applyNumberFormat="1" applyFont="1" applyFill="1" applyBorder="1" applyAlignment="1">
      <x:alignment vertical="center"/>
    </x:xf>
    <x:xf numFmtId="0" fontId="16" fillId="5" borderId="32" xfId="0" applyNumberFormat="1" applyFont="1" applyFill="1" applyBorder="1" applyAlignment="1">
      <x:alignment vertical="center"/>
    </x:xf>
    <x:xf numFmtId="0" fontId="20" fillId="5" borderId="33" xfId="0" applyNumberFormat="1" applyFont="1" applyFill="1" applyBorder="1" applyAlignment="1">
      <x:alignment vertical="center"/>
    </x:xf>
    <x:xf numFmtId="0" fontId="18" fillId="5" borderId="33" xfId="0" applyNumberFormat="1" applyFont="1" applyFill="1" applyBorder="1" applyAlignment="1">
      <x:alignment vertical="center"/>
    </x:xf>
    <x:xf numFmtId="0" fontId="21" fillId="5" borderId="14" xfId="0" applyNumberFormat="1" applyFont="1" applyFill="1" applyBorder="1"/>
    <x:xf numFmtId="0" fontId="21" fillId="5" borderId="0" xfId="0" applyNumberFormat="1" applyFont="1" applyFill="1" applyBorder="1"/>
    <x:xf numFmtId="0" fontId="21" fillId="5" borderId="15" xfId="0" applyNumberFormat="1" applyFont="1" applyFill="1" applyBorder="1"/>
    <x:xf numFmtId="0" fontId="21" fillId="5" borderId="14" xfId="0" applyNumberFormat="1" applyFont="1" applyFill="1" applyBorder="1" applyAlignment="1">
      <x:alignment vertical="center"/>
    </x:xf>
    <x:xf numFmtId="0" fontId="21" fillId="5" borderId="0" xfId="0" applyNumberFormat="1" applyFont="1" applyFill="1" applyBorder="1" applyAlignment="1">
      <x:alignment vertical="center"/>
    </x:xf>
    <x:xf numFmtId="0" fontId="21" fillId="5" borderId="15" xfId="0" applyNumberFormat="1" applyFont="1" applyFill="1" applyBorder="1" applyAlignment="1">
      <x:alignment vertical="center"/>
    </x:xf>
    <x:xf numFmtId="0" fontId="16" fillId="5" borderId="34" xfId="0" applyNumberFormat="1" applyFont="1" applyFill="1" applyBorder="1" applyAlignment="1">
      <x:alignment vertical="center"/>
    </x:xf>
    <x:xf numFmtId="0" fontId="21" fillId="5" borderId="35" xfId="0" applyNumberFormat="1" applyFont="1" applyFill="1" applyBorder="1" applyAlignment="1">
      <x:alignment vertical="center"/>
    </x:xf>
    <x:xf numFmtId="0" fontId="18" fillId="5" borderId="35" xfId="0" applyNumberFormat="1" applyFont="1" applyFill="1" applyBorder="1" applyAlignment="1">
      <x:alignment vertical="center"/>
    </x:xf>
    <x:xf numFmtId="201" fontId="12" fillId="5" borderId="22" xfId="0" applyNumberFormat="1" applyFont="1" applyFill="1" applyBorder="1" applyAlignment="1">
      <x:alignment vertical="center" wrapText="1"/>
    </x:xf>
    <x:xf numFmtId="201" fontId="12" fillId="5" borderId="24" xfId="0" applyNumberFormat="1" applyFont="1" applyFill="1" applyBorder="1" applyAlignment="1">
      <x:alignment vertical="center" wrapText="1"/>
    </x:xf>
    <x:xf numFmtId="201" fontId="12" fillId="5" borderId="26" xfId="0" applyNumberFormat="1" applyFont="1" applyFill="1" applyBorder="1" applyAlignment="1">
      <x:alignment vertical="center" wrapText="1"/>
    </x:xf>
    <x:xf numFmtId="202" fontId="12" fillId="5" borderId="22" xfId="0" applyNumberFormat="1" applyFont="1" applyFill="1" applyBorder="1" applyAlignment="1">
      <x:alignment vertical="center" wrapText="1"/>
    </x:xf>
    <x:xf numFmtId="202" fontId="12" fillId="5" borderId="24" xfId="0" applyNumberFormat="1" applyFont="1" applyFill="1" applyBorder="1" applyAlignment="1">
      <x:alignment vertical="center" wrapText="1"/>
    </x:xf>
    <x:xf numFmtId="202" fontId="12" fillId="5" borderId="26" xfId="0" applyNumberFormat="1" applyFont="1" applyFill="1" applyBorder="1" applyAlignment="1">
      <x:alignment vertical="center" wrapText="1"/>
    </x:xf>
    <x:xf numFmtId="201" fontId="12" fillId="5" borderId="16" xfId="0" applyNumberFormat="1" applyFont="1" applyFill="1" applyBorder="1" applyAlignment="1">
      <x:alignment vertical="center" wrapText="1"/>
    </x:xf>
    <x:xf numFmtId="201" fontId="12" fillId="5" borderId="7" xfId="0" applyNumberFormat="1" applyFont="1" applyFill="1" applyBorder="1" applyAlignment="1">
      <x:alignment vertical="center" wrapText="1"/>
    </x:xf>
    <x:xf numFmtId="201" fontId="12" fillId="5" borderId="11" xfId="0" applyNumberFormat="1" applyFont="1" applyFill="1" applyBorder="1" applyAlignment="1">
      <x:alignment vertical="center" wrapText="1"/>
    </x:xf>
    <x:xf numFmtId="205" fontId="12" fillId="5" borderId="22" xfId="0" applyNumberFormat="1" applyFont="1" applyFill="1" applyBorder="1" applyAlignment="1">
      <x:alignment vertical="center" wrapText="1"/>
    </x:xf>
    <x:xf numFmtId="205" fontId="12" fillId="5" borderId="24" xfId="0" applyNumberFormat="1" applyFont="1" applyFill="1" applyBorder="1" applyAlignment="1">
      <x:alignment vertical="center" wrapText="1"/>
    </x:xf>
    <x:xf numFmtId="205" fontId="12" fillId="5" borderId="26" xfId="0" applyNumberFormat="1" applyFont="1" applyFill="1" applyBorder="1" applyAlignment="1">
      <x:alignment vertical="center" wrapText="1"/>
    </x:xf>
    <x:xf numFmtId="200" fontId="12" fillId="5" borderId="22" xfId="0" applyNumberFormat="1" applyFont="1" applyFill="1" applyBorder="1" applyAlignment="1">
      <x:alignment vertical="center" wrapText="1"/>
    </x:xf>
    <x:xf numFmtId="200" fontId="12" fillId="5" borderId="24" xfId="0" applyNumberFormat="1" applyFont="1" applyFill="1" applyBorder="1" applyAlignment="1">
      <x:alignment vertical="center" wrapText="1"/>
    </x:xf>
    <x:xf numFmtId="200" fontId="12" fillId="5" borderId="26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horizontal="center"/>
    </x:xf>
    <x:xf numFmtId="0" fontId="13" fillId="11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/>
    <x:xf numFmtId="0" fontId="22" fillId="9" borderId="0" xfId="0" applyNumberFormat="1" applyFont="1" applyFill="1" applyBorder="1"/>
    <x:xf numFmtId="0" fontId="22" fillId="9" borderId="18" xfId="0" applyNumberFormat="1" applyFont="1" applyFill="1" applyBorder="1"/>
    <x:xf numFmtId="0" fontId="22" fillId="9" borderId="16" xfId="0" applyNumberFormat="1" applyFont="1" applyFill="1" applyBorder="1"/>
    <x:xf numFmtId="0" fontId="22" fillId="9" borderId="9" xfId="0" applyNumberFormat="1" applyFont="1" applyFill="1" applyBorder="1"/>
    <x:xf numFmtId="0" fontId="22" fillId="9" borderId="7" xfId="0" applyNumberFormat="1" applyFont="1" applyFill="1" applyBorder="1"/>
    <x:xf numFmtId="0" fontId="22" fillId="9" borderId="13" xfId="0" applyNumberFormat="1" applyFont="1" applyFill="1" applyBorder="1"/>
    <x:xf numFmtId="0" fontId="22" fillId="9" borderId="11" xfId="0" applyNumberFormat="1" applyFont="1" applyFill="1" applyBorder="1"/>
    <x:xf numFmtId="0" fontId="22" fillId="9" borderId="18" xfId="0" applyNumberFormat="1" applyFont="1" applyFill="1" applyBorder="1" applyAlignment="1">
      <x:alignment horizontal="center"/>
    </x:xf>
    <x:xf numFmtId="0" fontId="22" fillId="9" borderId="16" xfId="0" applyNumberFormat="1" applyFont="1" applyFill="1" applyBorder="1" applyAlignment="1">
      <x:alignment horizontal="center"/>
    </x:xf>
    <x:xf numFmtId="0" fontId="22" fillId="9" borderId="9" xfId="0" applyNumberFormat="1" applyFont="1" applyFill="1" applyBorder="1" applyAlignment="1">
      <x:alignment horizontal="center"/>
    </x:xf>
    <x:xf numFmtId="0" fontId="22" fillId="9" borderId="7" xfId="0" applyNumberFormat="1" applyFont="1" applyFill="1" applyBorder="1" applyAlignment="1">
      <x:alignment horizontal="center"/>
    </x:xf>
    <x:xf numFmtId="0" fontId="22" fillId="9" borderId="13" xfId="0" applyNumberFormat="1" applyFont="1" applyFill="1" applyBorder="1" applyAlignment="1">
      <x:alignment horizontal="center"/>
    </x:xf>
    <x:xf numFmtId="0" fontId="22" fillId="9" borderId="11" xfId="0" applyNumberFormat="1" applyFont="1" applyFill="1" applyBorder="1" applyAlignment="1">
      <x:alignment horizontal="center"/>
    </x:xf>
    <x:xf numFmtId="0" fontId="22" fillId="9" borderId="18" xfId="0" applyNumberFormat="1" applyFont="1" applyFill="1" applyBorder="1" applyAlignment="1">
      <x:alignment horizontal="center" vertical="center"/>
    </x:xf>
    <x:xf numFmtId="0" fontId="22" fillId="9" borderId="16" xfId="0" applyNumberFormat="1" applyFont="1" applyFill="1" applyBorder="1" applyAlignment="1">
      <x:alignment horizontal="center" vertical="center"/>
    </x:xf>
    <x:xf numFmtId="0" fontId="22" fillId="9" borderId="9" xfId="0" applyNumberFormat="1" applyFont="1" applyFill="1" applyBorder="1" applyAlignment="1">
      <x:alignment horizontal="center" vertical="center"/>
    </x:xf>
    <x:xf numFmtId="0" fontId="22" fillId="9" borderId="7" xfId="0" applyNumberFormat="1" applyFont="1" applyFill="1" applyBorder="1" applyAlignment="1">
      <x:alignment horizontal="center" vertical="center"/>
    </x:xf>
    <x:xf numFmtId="0" fontId="22" fillId="9" borderId="13" xfId="0" applyNumberFormat="1" applyFont="1" applyFill="1" applyBorder="1" applyAlignment="1">
      <x:alignment horizontal="center" vertical="center"/>
    </x:xf>
    <x:xf numFmtId="0" fontId="22" fillId="9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3"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2367C6"/>
      </x:font>
      <x:fill>
        <x:patternFill patternType="solid">
          <x:bgColor rgb="FFEAF2FD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2367C6"/>
      </x:font>
      <x:fill>
        <x:patternFill patternType="solid">
          <x:bgColor rgb="FFEAF2FD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0B7A57"/>
      </x:font>
      <x:fill>
        <x:patternFill patternType="solid">
          <x:bgColor rgb="FFE7F5EF"/>
        </x:patternFill>
      </x:fill>
    </x:dxf>
    <x:dxf>
      <x:font>
        <x:b/>
        <x:color rgb="FFB76A00"/>
      </x:font>
      <x:fill>
        <x:patternFill patternType="solid">
          <x:bgColor rgb="FFFFF3DA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C53B3B"/>
      </x:font>
      <x:fill>
        <x:patternFill patternType="solid">
          <x:bgColor rgb="FFFDECEC"/>
        </x:patternFill>
      </x:fill>
    </x:dxf>
    <x:dxf>
      <x:font>
        <x:b/>
        <x:color rgb="FFB76A00"/>
      </x:font>
      <x:fill>
        <x:patternFill patternType="solid">
          <x:bgColor rgb="FFFFF8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8e36a80fd4308" /><Relationship Type="http://schemas.openxmlformats.org/officeDocument/2006/relationships/theme" Target="/xl/theme/theme1.xml" Id="Rd2a25ce2a551496b" /><Relationship Type="http://schemas.openxmlformats.org/officeDocument/2006/relationships/sharedStrings" Target="/xl/sharedStrings.xml" Id="R3dd1718d2d734c59" /><Relationship Type="http://schemas.openxmlformats.org/officeDocument/2006/relationships/worksheet" Target="/xl/worksheets/sheet1.xml" Id="Rf11475d152a6482a" /><Relationship Type="http://schemas.openxmlformats.org/officeDocument/2006/relationships/worksheet" Target="/xl/worksheets/sheet2.xml" Id="R52c88f1d16f24ff8" /><Relationship Type="http://schemas.openxmlformats.org/officeDocument/2006/relationships/worksheet" Target="/xl/worksheets/sheet3.xml" Id="Rcab8a48793dd4a8c" /><Relationship Type="http://schemas.openxmlformats.org/officeDocument/2006/relationships/worksheet" Target="/xl/worksheets/sheet4.xml" Id="R8ccbc229e3b84a63" /><Relationship Type="http://schemas.openxmlformats.org/officeDocument/2006/relationships/worksheet" Target="/xl/worksheets/sheet5.xml" Id="R77b0d3db24ed4b1d" /><Relationship Type="http://schemas.openxmlformats.org/officeDocument/2006/relationships/worksheet" Target="/xl/worksheets/sheet6.xml" Id="R7382128b6a964669" /><Relationship Type="http://schemas.openxmlformats.org/officeDocument/2006/relationships/worksheet" Target="/xl/worksheets/sheet7.xml" Id="Rffabd195dbf74182" /><Relationship Type="http://schemas.openxmlformats.org/officeDocument/2006/relationships/worksheet" Target="/xl/worksheets/sheet8.xml" Id="Ref0738ca6d8f407a" /><Relationship Type="http://schemas.openxmlformats.org/officeDocument/2006/relationships/worksheet" Target="/xl/worksheets/sheet9.xml" Id="R7d48617b006a462a" /><Relationship Type="http://schemas.openxmlformats.org/officeDocument/2006/relationships/worksheet" Target="/xl/worksheets/sheet10.xml" Id="R3ec4161ff98e4fde" /><Relationship Type="http://schemas.openxmlformats.org/officeDocument/2006/relationships/worksheet" Target="/xl/worksheets/sheet11.xml" Id="Rd95055cc9bbf4d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0ee5296f6848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本期销售贡献（元）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本期销售（元）</c:v>
          </c:tx>
          <c:cat>
            <c:strRef>
              <c:f>'老板端汇总'!$A$18:$A$21</c:f>
              <c:strCache>
                <c:ptCount val="0"/>
              </c:strCache>
            </c:strRef>
          </c:cat>
          <c:val>
            <c:numRef>
              <c:f>'老板端汇总'!$B$18:$B$21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16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0ee5296f6848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1b1f5ce376b42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2" hidden="0" customWidth="1"/>
    <x:col min="5" max="5" width="14" hidden="0" customWidth="1"/>
    <x:col min="6" max="6" width="18" hidden="0" customWidth="1"/>
    <x:col min="7" max="7" width="28" hidden="0" customWidth="1"/>
    <x:col min="8" max="8" width="12" hidden="0" customWidth="1"/>
    <x:col min="9" max="9" width="14" hidden="0" customWidth="1"/>
    <x:col min="10" max="10" width="18" hidden="0" customWidth="1"/>
    <x:col min="11" max="11" width="30" hidden="0" customWidth="1"/>
    <x:col min="12" max="12" width="12" hidden="0" customWidth="1"/>
  </x:cols>
  <x:sheetData>
    <x:row r="1" ht="34" customHeight="1">
      <x:c r="A1" s="16" t="str">
        <x:v>江苏传天羽 · 经营管理简报
统一采集、晨间汇总、一次上传、老板端同步呈现</x:v>
      </x:c>
      <x:c r="B1" s="17" t="str">
        <x:v>江苏传天羽 · 经营管理简报
统一采集、晨间汇总、一次上传、老板端同步呈现</x:v>
      </x:c>
      <x:c r="C1" s="17" t="str">
        <x:v>江苏传天羽 · 经营管理简报
统一采集、晨间汇总、一次上传、老板端同步呈现</x:v>
      </x:c>
      <x:c r="D1" s="17" t="str">
        <x:v>江苏传天羽 · 经营管理简报
统一采集、晨间汇总、一次上传、老板端同步呈现</x:v>
      </x:c>
      <x:c r="E1" s="17" t="str">
        <x:v>江苏传天羽 · 经营管理简报
统一采集、晨间汇总、一次上传、老板端同步呈现</x:v>
      </x:c>
      <x:c r="F1" s="17" t="str">
        <x:v>江苏传天羽 · 经营管理简报
统一采集、晨间汇总、一次上传、老板端同步呈现</x:v>
      </x:c>
      <x:c r="G1" s="17" t="str">
        <x:v>江苏传天羽 · 经营管理简报
统一采集、晨间汇总、一次上传、老板端同步呈现</x:v>
      </x:c>
      <x:c r="H1" s="17" t="str">
        <x:v>江苏传天羽 · 经营管理简报
统一采集、晨间汇总、一次上传、老板端同步呈现</x:v>
      </x:c>
      <x:c r="I1" s="17" t="str">
        <x:v>江苏传天羽 · 经营管理简报
统一采集、晨间汇总、一次上传、老板端同步呈现</x:v>
      </x:c>
      <x:c r="J1" s="17" t="str">
        <x:v>江苏传天羽 · 经营管理简报
统一采集、晨间汇总、一次上传、老板端同步呈现</x:v>
      </x:c>
      <x:c r="K1" s="17" t="str">
        <x:v>江苏传天羽 · 经营管理简报
统一采集、晨间汇总、一次上传、老板端同步呈现</x:v>
      </x:c>
      <x:c r="L1" s="18" t="str">
        <x:v>江苏传天羽 · 经营管理简报
统一采集、晨间汇总、一次上传、老板端同步呈现</x:v>
      </x:c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江苏传天羽 · 经营管理简报
统一采集、晨间汇总、一次上传、老板端同步呈现</x:v>
      </x:c>
      <x:c r="B2" s="20" t="str">
        <x:v>江苏传天羽 · 经营管理简报
统一采集、晨间汇总、一次上传、老板端同步呈现</x:v>
      </x:c>
      <x:c r="C2" s="20" t="str">
        <x:v>江苏传天羽 · 经营管理简报
统一采集、晨间汇总、一次上传、老板端同步呈现</x:v>
      </x:c>
      <x:c r="D2" s="20" t="str">
        <x:v>江苏传天羽 · 经营管理简报
统一采集、晨间汇总、一次上传、老板端同步呈现</x:v>
      </x:c>
      <x:c r="E2" s="20" t="str">
        <x:v>江苏传天羽 · 经营管理简报
统一采集、晨间汇总、一次上传、老板端同步呈现</x:v>
      </x:c>
      <x:c r="F2" s="20" t="str">
        <x:v>江苏传天羽 · 经营管理简报
统一采集、晨间汇总、一次上传、老板端同步呈现</x:v>
      </x:c>
      <x:c r="G2" s="20" t="str">
        <x:v>江苏传天羽 · 经营管理简报
统一采集、晨间汇总、一次上传、老板端同步呈现</x:v>
      </x:c>
      <x:c r="H2" s="20" t="str">
        <x:v>江苏传天羽 · 经营管理简报
统一采集、晨间汇总、一次上传、老板端同步呈现</x:v>
      </x:c>
      <x:c r="I2" s="20" t="str">
        <x:v>江苏传天羽 · 经营管理简报
统一采集、晨间汇总、一次上传、老板端同步呈现</x:v>
      </x:c>
      <x:c r="J2" s="20" t="str">
        <x:v>江苏传天羽 · 经营管理简报
统一采集、晨间汇总、一次上传、老板端同步呈现</x:v>
      </x:c>
      <x:c r="K2" s="20" t="str">
        <x:v>江苏传天羽 · 经营管理简报
统一采集、晨间汇总、一次上传、老板端同步呈现</x:v>
      </x:c>
      <x:c r="L2" s="21" t="str">
        <x:v>江苏传天羽 · 经营管理简报
统一采集、晨间汇总、一次上传、老板端同步呈现</x:v>
      </x:c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版本：V2.0｜适用：日报、周报、月报｜主责：总经办｜推荐完成时间：每日08:30前</x:v>
      </x:c>
      <x:c r="B3" s="31" t="str">
        <x:v>版本：V2.0｜适用：日报、周报、月报｜主责：总经办｜推荐完成时间：每日08:30前</x:v>
      </x:c>
      <x:c r="C3" s="31" t="str">
        <x:v>版本：V2.0｜适用：日报、周报、月报｜主责：总经办｜推荐完成时间：每日08:30前</x:v>
      </x:c>
      <x:c r="D3" s="31" t="str">
        <x:v>版本：V2.0｜适用：日报、周报、月报｜主责：总经办｜推荐完成时间：每日08:30前</x:v>
      </x:c>
      <x:c r="E3" s="31" t="str">
        <x:v>版本：V2.0｜适用：日报、周报、月报｜主责：总经办｜推荐完成时间：每日08:30前</x:v>
      </x:c>
      <x:c r="F3" s="31" t="str">
        <x:v>版本：V2.0｜适用：日报、周报、月报｜主责：总经办｜推荐完成时间：每日08:30前</x:v>
      </x:c>
      <x:c r="G3" s="31" t="str">
        <x:v>版本：V2.0｜适用：日报、周报、月报｜主责：总经办｜推荐完成时间：每日08:30前</x:v>
      </x:c>
      <x:c r="H3" s="31" t="str">
        <x:v>版本：V2.0｜适用：日报、周报、月报｜主责：总经办｜推荐完成时间：每日08:30前</x:v>
      </x:c>
      <x:c r="I3" s="31" t="str">
        <x:v>版本：V2.0｜适用：日报、周报、月报｜主责：总经办｜推荐完成时间：每日08:30前</x:v>
      </x:c>
      <x:c r="J3" s="31" t="str">
        <x:v>版本：V2.0｜适用：日报、周报、月报｜主责：总经办｜推荐完成时间：每日08:30前</x:v>
      </x:c>
      <x:c r="K3" s="31" t="str">
        <x:v>版本：V2.0｜适用：日报、周报、月报｜主责：总经办｜推荐完成时间：每日08:30前</x:v>
      </x:c>
      <x:c r="L3" s="32" t="str">
        <x:v>版本：V2.0｜适用：日报、周报、月报｜主责：总经办｜推荐完成时间：每日08:30前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24" customHeight="1">
      <x:c r="A5" s="36" t="str">
        <x:v>一、每日操作流程</x:v>
      </x:c>
      <x:c r="B5" s="36" t="str">
        <x:v>一、每日操作流程</x:v>
      </x:c>
      <x:c r="C5" s="36" t="str">
        <x:v>一、每日操作流程</x:v>
      </x:c>
      <x:c r="D5" s="36" t="str">
        <x:v>一、每日操作流程</x:v>
      </x:c>
      <x:c r="E5" s="36" t="str">
        <x:v>一、每日操作流程</x:v>
      </x:c>
      <x:c r="F5" s="36" t="str">
        <x:v>一、每日操作流程</x:v>
      </x:c>
      <x:c r="G5" s="36" t="str">
        <x:v>一、每日操作流程</x:v>
      </x:c>
      <x:c r="H5" s="36" t="str">
        <x:v>一、每日操作流程</x:v>
      </x:c>
      <x:c r="I5" s="36" t="str">
        <x:v>一、每日操作流程</x:v>
      </x:c>
      <x:c r="J5" s="36" t="str">
        <x:v>一、每日操作流程</x:v>
      </x:c>
      <x:c r="K5" s="36" t="str">
        <x:v>一、每日操作流程</x:v>
      </x:c>
      <x:c r="L5" s="36" t="str">
        <x:v>一、每日操作流程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>
      <x:c r="A6" s="70" t="str">
        <x:v>08:00前</x:v>
      </x:c>
      <x:c r="B6" s="56" t="str">
        <x:v>各责任人提供经营、管理及事项数据</x:v>
      </x:c>
      <x:c r="C6" s="57"/>
      <x:c r="D6" s="1"/>
      <x:c r="E6" s="79" t="str">
        <x:v>08:00-08:20</x:v>
      </x:c>
      <x:c r="F6" s="56" t="str">
        <x:v>总经办汇总并检查必填项</x:v>
      </x:c>
      <x:c r="G6" s="57"/>
      <x:c r="H6" s="1"/>
      <x:c r="I6" s="88" t="str">
        <x:v>08:20-08:30</x:v>
      </x:c>
      <x:c r="J6" s="56" t="str">
        <x:v>人工或AI完成摘要，确认后上传</x:v>
      </x:c>
      <x:c r="K6" s="56"/>
      <x:c r="L6" s="57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>
      <x:c r="A7" s="71" t="str">
        <x:v>1</x:v>
      </x:c>
      <x:c r="B7" s="59" t="str">
        <x:v>填写黄色输入区域；禁止改表名和表头</x:v>
      </x:c>
      <x:c r="C7" s="60"/>
      <x:c r="D7" s="1"/>
      <x:c r="E7" s="80" t="str">
        <x:v>2</x:v>
      </x:c>
      <x:c r="F7" s="59" t="str">
        <x:v>查看“数据检查”，必须无红色待补项</x:v>
      </x:c>
      <x:c r="G7" s="60"/>
      <x:c r="H7" s="1"/>
      <x:c r="I7" s="89" t="str">
        <x:v>3</x:v>
      </x:c>
      <x:c r="J7" s="59" t="str">
        <x:v>核对“老板端汇总”后上传本工作簿</x:v>
      </x:c>
      <x:c r="K7" s="59"/>
      <x:c r="L7" s="60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>
      <x:c r="A8" s="71" t="str">
        <x:v>数据日</x:v>
      </x:c>
      <x:c r="B8" s="59" t="str">
        <x:v>经营数据按实际归属日填写</x:v>
      </x:c>
      <x:c r="C8" s="60"/>
      <x:c r="D8" s="1"/>
      <x:c r="E8" s="80" t="str">
        <x:v>口径</x:v>
      </x:c>
      <x:c r="F8" s="59" t="str">
        <x:v>金额统一为元，百分比使用0.00%格式</x:v>
      </x:c>
      <x:c r="G8" s="60"/>
      <x:c r="H8" s="1"/>
      <x:c r="I8" s="89" t="str">
        <x:v>更新</x:v>
      </x:c>
      <x:c r="J8" s="59" t="str">
        <x:v>同一日期重新上传即覆盖当次浏览器数据</x:v>
      </x:c>
      <x:c r="K8" s="59"/>
      <x:c r="L8" s="60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>
      <x:c r="A9" s="71" t="str">
        <x:v>摘要</x:v>
      </x:c>
      <x:c r="B9" s="59" t="str">
        <x:v>经营结论、风险、重点事项和决策均可人工修订</x:v>
      </x:c>
      <x:c r="C9" s="60"/>
      <x:c r="D9" s="1"/>
      <x:c r="E9" s="80" t="str">
        <x:v>异常</x:v>
      </x:c>
      <x:c r="F9" s="59" t="str">
        <x:v>无异常可写“无”，不得用空白代替</x:v>
      </x:c>
      <x:c r="G9" s="60"/>
      <x:c r="H9" s="1"/>
      <x:c r="I9" s="89" t="str">
        <x:v>归档</x:v>
      </x:c>
      <x:c r="J9" s="59" t="str">
        <x:v>上传后的工作簿按日期留存，不覆盖历史原件</x:v>
      </x:c>
      <x:c r="K9" s="59"/>
      <x:c r="L9" s="60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>
      <x:c r="A10" s="72" t="str">
        <x:v>适用范围</x:v>
      </x:c>
      <x:c r="B10" s="62" t="str">
        <x:v>APR门店、Apple电商、舒尔电商、3PP/渠道分销</x:v>
      </x:c>
      <x:c r="C10" s="63"/>
      <x:c r="D10" s="1"/>
      <x:c r="E10" s="81" t="str">
        <x:v>管理范围</x:v>
      </x:c>
      <x:c r="F10" s="62" t="str">
        <x:v>任务闭环、人事保障、资金回款、商务采购</x:v>
      </x:c>
      <x:c r="G10" s="63"/>
      <x:c r="H10" s="1"/>
      <x:c r="I10" s="90" t="str">
        <x:v>风控范围</x:v>
      </x:c>
      <x:c r="J10" s="62" t="str">
        <x:v>库存、回款、平台合规、项目进度与老板决策</x:v>
      </x:c>
      <x:c r="K10" s="62"/>
      <x:c r="L10" s="63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24" customHeight="1">
      <x:c r="A12" s="36" t="str">
        <x:v>二、颜色与填写规则</x:v>
      </x:c>
      <x:c r="B12" s="36" t="str">
        <x:v>二、颜色与填写规则</x:v>
      </x:c>
      <x:c r="C12" s="36" t="str">
        <x:v>二、颜色与填写规则</x:v>
      </x:c>
      <x:c r="D12" s="36" t="str">
        <x:v>二、颜色与填写规则</x:v>
      </x:c>
      <x:c r="E12" s="36" t="str">
        <x:v>二、颜色与填写规则</x:v>
      </x:c>
      <x:c r="F12" s="36" t="str">
        <x:v>二、颜色与填写规则</x:v>
      </x:c>
      <x:c r="G12" s="36" t="str">
        <x:v>二、颜色与填写规则</x:v>
      </x:c>
      <x:c r="H12" s="36" t="str">
        <x:v>二、颜色与填写规则</x:v>
      </x:c>
      <x:c r="I12" s="36" t="str">
        <x:v>二、颜色与填写规则</x:v>
      </x:c>
      <x:c r="J12" s="36" t="str">
        <x:v>二、颜色与填写规则</x:v>
      </x:c>
      <x:c r="K12" s="36" t="str">
        <x:v>二、颜色与填写规则</x:v>
      </x:c>
      <x:c r="L12" s="36" t="str">
        <x:v>二、颜色与填写规则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>
      <x:c r="A13" s="97" t="str">
        <x:v>黄色</x:v>
      </x:c>
      <x:c r="B13" s="57" t="str">
        <x:v>人工填写</x:v>
      </x:c>
      <x:c r="C13" s="1"/>
      <x:c r="D13" s="106" t="str">
        <x:v>浅蓝</x:v>
      </x:c>
      <x:c r="E13" s="57" t="str">
        <x:v>公式计算，不要覆盖</x:v>
      </x:c>
      <x:c r="F13" s="1"/>
      <x:c r="G13" s="79" t="str">
        <x:v>绿色</x:v>
      </x:c>
      <x:c r="H13" s="57" t="str">
        <x:v>正常或完成</x:v>
      </x:c>
      <x:c r="I13" s="1"/>
      <x:c r="J13" s="115" t="str">
        <x:v>红色</x:v>
      </x:c>
      <x:c r="K13" s="57" t="str">
        <x:v>预警或待补</x:v>
      </x:c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>
      <x:c r="A14" s="98" t="str">
        <x:v>必填项</x:v>
      </x:c>
      <x:c r="B14" s="60" t="str">
        <x:v>日期、板块/事项、核心数值、负责人、数据来源</x:v>
      </x:c>
      <x:c r="C14" s="1"/>
      <x:c r="D14" s="107" t="str">
        <x:v>可选项</x:v>
      </x:c>
      <x:c r="E14" s="60" t="str">
        <x:v>无业务场景时可留空，例如线下门店ROI</x:v>
      </x:c>
      <x:c r="F14" s="1"/>
      <x:c r="G14" s="80" t="str">
        <x:v>零值</x:v>
      </x:c>
      <x:c r="H14" s="60" t="str">
        <x:v>确认为0时填0；未取得数据时留空并说明</x:v>
      </x:c>
      <x:c r="I14" s="1"/>
      <x:c r="J14" s="116" t="str">
        <x:v>文本</x:v>
      </x:c>
      <x:c r="K14" s="60" t="str">
        <x:v>结论只写事实、原因、动作和节点</x:v>
      </x:c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>
      <x:c r="A15" s="98" t="str">
        <x:v>经营采集</x:v>
      </x:c>
      <x:c r="B15" s="60" t="str">
        <x:v>每个经营板块一行，禁止重复填写合计行</x:v>
      </x:c>
      <x:c r="C15" s="1"/>
      <x:c r="D15" s="107" t="str">
        <x:v>门店明细</x:v>
      </x:c>
      <x:c r="E15" s="60" t="str">
        <x:v>APR门店逐店一行，用于排名和异常下钻</x:v>
      </x:c>
      <x:c r="F15" s="1"/>
      <x:c r="G15" s="80" t="str">
        <x:v>管理采集</x:v>
      </x:c>
      <x:c r="H15" s="60" t="str">
        <x:v>只填经营保障和管理闭环指标</x:v>
      </x:c>
      <x:c r="I15" s="1"/>
      <x:c r="J15" s="116" t="str">
        <x:v>事项风控</x:v>
      </x:c>
      <x:c r="K15" s="60" t="str">
        <x:v>每个事项一行，必须写下一步和截止时间</x:v>
      </x:c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>
      <x:c r="A16" s="98" t="str">
        <x:v>日报</x:v>
      </x:c>
      <x:c r="B16" s="60" t="str">
        <x:v>聚焦昨日结果、异常、今日动作和需决策事项</x:v>
      </x:c>
      <x:c r="C16" s="1"/>
      <x:c r="D16" s="107" t="str">
        <x:v>周报</x:v>
      </x:c>
      <x:c r="E16" s="60" t="str">
        <x:v>聚焦目标差距、趋势、库存变化和下周动作</x:v>
      </x:c>
      <x:c r="F16" s="1"/>
      <x:c r="G16" s="80" t="str">
        <x:v>月报</x:v>
      </x:c>
      <x:c r="H16" s="60" t="str">
        <x:v>聚焦经营质量、毛利、周转、回款和策略调整</x:v>
      </x:c>
      <x:c r="I16" s="1"/>
      <x:c r="J16" s="116"/>
      <x:c r="K16" s="60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>
      <x:c r="A17" s="99" t="str">
        <x:v>上传前</x:v>
      </x:c>
      <x:c r="B17" s="63" t="str">
        <x:v>检查报送日期、单位、状态、负责人、截止日期</x:v>
      </x:c>
      <x:c r="C17" s="1"/>
      <x:c r="D17" s="108" t="str">
        <x:v>上传后</x:v>
      </x:c>
      <x:c r="E17" s="63" t="str">
        <x:v>网站显示上传批次和完整度，刷新各模块</x:v>
      </x:c>
      <x:c r="F17" s="1"/>
      <x:c r="G17" s="81" t="str">
        <x:v>异常处理</x:v>
      </x:c>
      <x:c r="H17" s="63" t="str">
        <x:v>字段不匹配时按网站提示返回本表修正</x:v>
      </x:c>
      <x:c r="I17" s="1"/>
      <x:c r="J17" s="117" t="str">
        <x:v>模板下载</x:v>
      </x:c>
      <x:c r="K17" s="63" t="str">
        <x:v>网站“数据上传”页可随时下载本终版模板</x:v>
      </x:c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 ht="24" customHeight="1">
      <x:c r="A19" s="36" t="str">
        <x:v>三、建议责任分工</x:v>
      </x:c>
      <x:c r="B19" s="36" t="str">
        <x:v>三、建议责任分工</x:v>
      </x:c>
      <x:c r="C19" s="36" t="str">
        <x:v>三、建议责任分工</x:v>
      </x:c>
      <x:c r="D19" s="36" t="str">
        <x:v>三、建议责任分工</x:v>
      </x:c>
      <x:c r="E19" s="36" t="str">
        <x:v>三、建议责任分工</x:v>
      </x:c>
      <x:c r="F19" s="36" t="str">
        <x:v>三、建议责任分工</x:v>
      </x:c>
      <x:c r="G19" s="36" t="str">
        <x:v>三、建议责任分工</x:v>
      </x:c>
      <x:c r="H19" s="36" t="str">
        <x:v>三、建议责任分工</x:v>
      </x:c>
      <x:c r="I19" s="36" t="str">
        <x:v>三、建议责任分工</x:v>
      </x:c>
      <x:c r="J19" s="36" t="str">
        <x:v>三、建议责任分工</x:v>
      </x:c>
      <x:c r="K19" s="36" t="str">
        <x:v>三、建议责任分工</x:v>
      </x:c>
      <x:c r="L19" s="36" t="str">
        <x:v>三、建议责任分工</x:v>
      </x:c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 ht="28" customHeight="1">
      <x:c r="A20" s="139" t="str">
        <x:v>APR门店</x:v>
      </x:c>
      <x:c r="B20" s="140" t="str">
        <x:v>经营负责人/门店</x:v>
      </x:c>
      <x:c r="C20" s="140" t="str">
        <x:v>门店销售、目标、客流、转化、配件和库存</x:v>
      </x:c>
      <x:c r="D20" s="140" t="str">
        <x:v>每日</x:v>
      </x:c>
      <x:c r="E20" s="140" t="str">
        <x:v>Apple电商</x:v>
      </x:c>
      <x:c r="F20" s="140" t="str">
        <x:v>电商负责人</x:v>
      </x:c>
      <x:c r="G20" s="140" t="str">
        <x:v>京东羽通、苏宁啟韬经营及异常订单</x:v>
      </x:c>
      <x:c r="H20" s="140" t="str">
        <x:v>每日</x:v>
      </x:c>
      <x:c r="I20" s="140" t="str">
        <x:v>舒尔电商</x:v>
      </x:c>
      <x:c r="J20" s="140" t="str">
        <x:v>电商负责人</x:v>
      </x:c>
      <x:c r="K20" s="140" t="str">
        <x:v>京东/天猫舒尔经营、ROI和库存</x:v>
      </x:c>
      <x:c r="L20" s="141" t="str">
        <x:v>每日</x:v>
      </x:c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 ht="28" customHeight="1">
      <x:c r="A21" s="154" t="str">
        <x:v>3PP/分销</x:v>
      </x:c>
      <x:c r="B21" s="155" t="str">
        <x:v>采销/商务</x:v>
      </x:c>
      <x:c r="C21" s="155" t="str">
        <x:v>销售、毛利、库存、超龄、返利与渠道风险</x:v>
      </x:c>
      <x:c r="D21" s="155" t="str">
        <x:v>每日/周</x:v>
      </x:c>
      <x:c r="E21" s="155" t="str">
        <x:v>管理数据</x:v>
      </x:c>
      <x:c r="F21" s="155" t="str">
        <x:v>综合办/财务</x:v>
      </x:c>
      <x:c r="G21" s="155" t="str">
        <x:v>任务、人事、应收、回款、采购和合规</x:v>
      </x:c>
      <x:c r="H21" s="155" t="str">
        <x:v>每日/周</x:v>
      </x:c>
      <x:c r="I21" s="155" t="str">
        <x:v>事项风控</x:v>
      </x:c>
      <x:c r="J21" s="155" t="str">
        <x:v>各责任人</x:v>
      </x:c>
      <x:c r="K21" s="155" t="str">
        <x:v>进度、动作、节点、闭环标准及需决策内容</x:v>
      </x:c>
      <x:c r="L21" s="156" t="str">
        <x:v>每日</x:v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 ht="28" customHeight="1">
      <x:c r="A22" s="154" t="str">
        <x:v>汇总人</x:v>
      </x:c>
      <x:c r="B22" s="155" t="str">
        <x:v>总经办</x:v>
      </x:c>
      <x:c r="C22" s="155" t="str">
        <x:v>检查完整度、统一口径、提炼老板摘要</x:v>
      </x:c>
      <x:c r="D22" s="155" t="str">
        <x:v>每日</x:v>
      </x:c>
      <x:c r="E22" s="155" t="str">
        <x:v>审核人</x:v>
      </x:c>
      <x:c r="F22" s="155" t="str">
        <x:v>指定负责人</x:v>
      </x:c>
      <x:c r="G22" s="155" t="str">
        <x:v>确认数据真实性及风险等级</x:v>
      </x:c>
      <x:c r="H22" s="155" t="str">
        <x:v>每日</x:v>
      </x:c>
      <x:c r="I22" s="155" t="str">
        <x:v>报送人</x:v>
      </x:c>
      <x:c r="J22" s="155" t="str">
        <x:v>总经办</x:v>
      </x:c>
      <x:c r="K22" s="155" t="str">
        <x:v>上传终版、核对页面、保留归档</x:v>
      </x:c>
      <x:c r="L22" s="156" t="str">
        <x:v>每日</x:v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 ht="28" customHeight="1">
      <x:c r="A23" s="154" t="str">
        <x:v>数据来源</x:v>
      </x:c>
      <x:c r="B23" s="155" t="str">
        <x:v>系统/台账</x:v>
      </x:c>
      <x:c r="C23" s="155" t="str">
        <x:v>写明ERP、京麦、千牛、吉客云、财务台账等</x:v>
      </x:c>
      <x:c r="D23" s="155" t="str">
        <x:v>必填</x:v>
      </x:c>
      <x:c r="E23" s="155" t="str">
        <x:v>更新时间</x:v>
      </x:c>
      <x:c r="F23" s="155" t="str">
        <x:v>数据提供人</x:v>
      </x:c>
      <x:c r="G23" s="155" t="str">
        <x:v>填写实际完成汇总的时间</x:v>
      </x:c>
      <x:c r="H23" s="155" t="str">
        <x:v>必填</x:v>
      </x:c>
      <x:c r="I23" s="155" t="str">
        <x:v>异常说明</x:v>
      </x:c>
      <x:c r="J23" s="155" t="str">
        <x:v>责任人</x:v>
      </x:c>
      <x:c r="K23" s="155" t="str">
        <x:v>必须同时写原因、影响、动作和节点</x:v>
      </x:c>
      <x:c r="L23" s="156" t="str">
        <x:v>必填</x:v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 ht="28" customHeight="1">
      <x:c r="A24" s="157" t="str">
        <x:v>安全</x:v>
      </x:c>
      <x:c r="B24" s="158" t="str">
        <x:v>公司内部</x:v>
      </x:c>
      <x:c r="C24" s="158" t="str">
        <x:v>工作簿和上传数据仅限授权人员使用</x:v>
      </x:c>
      <x:c r="D24" s="158" t="str">
        <x:v>长期</x:v>
      </x:c>
      <x:c r="E24" s="158" t="str">
        <x:v>外网访问</x:v>
      </x:c>
      <x:c r="F24" s="158" t="str">
        <x:v>部署管理员</x:v>
      </x:c>
      <x:c r="G24" s="158" t="str">
        <x:v>正式版优先公司域名或命名隧道</x:v>
      </x:c>
      <x:c r="H24" s="158" t="str">
        <x:v>上线前</x:v>
      </x:c>
      <x:c r="I24" s="158" t="str">
        <x:v>备份</x:v>
      </x:c>
      <x:c r="J24" s="158" t="str">
        <x:v>总经办</x:v>
      </x:c>
      <x:c r="K24" s="158" t="str">
        <x:v>保留每日原始表和发布版</x:v>
      </x:c>
      <x:c r="L24" s="159" t="str">
        <x:v>每日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L2"/>
    <x:mergeCell ref="A3:L3"/>
    <x:mergeCell ref="A5:L5"/>
    <x:mergeCell ref="A6:C6"/>
    <x:mergeCell ref="A7:C7"/>
    <x:mergeCell ref="A8:C8"/>
    <x:mergeCell ref="A9:C9"/>
    <x:mergeCell ref="A10:C10"/>
    <x:mergeCell ref="E6:G6"/>
    <x:mergeCell ref="E7:G7"/>
    <x:mergeCell ref="E8:G8"/>
    <x:mergeCell ref="E9:G9"/>
    <x:mergeCell ref="E10:G10"/>
    <x:mergeCell ref="I6:L6"/>
    <x:mergeCell ref="I7:L7"/>
    <x:mergeCell ref="I8:L8"/>
    <x:mergeCell ref="I9:L9"/>
    <x:mergeCell ref="I10:L10"/>
    <x:mergeCell ref="A12:L12"/>
    <x:mergeCell ref="A13:B13"/>
    <x:mergeCell ref="A14:B14"/>
    <x:mergeCell ref="A15:B15"/>
    <x:mergeCell ref="A16:B16"/>
    <x:mergeCell ref="A17:B17"/>
    <x:mergeCell ref="D13:E13"/>
    <x:mergeCell ref="D14:E14"/>
    <x:mergeCell ref="D15:E15"/>
    <x:mergeCell ref="D16:E16"/>
    <x:mergeCell ref="D17:E17"/>
    <x:mergeCell ref="G13:H13"/>
    <x:mergeCell ref="G14:H14"/>
    <x:mergeCell ref="G15:H15"/>
    <x:mergeCell ref="G16:H16"/>
    <x:mergeCell ref="G17:H17"/>
    <x:mergeCell ref="J13:K13"/>
    <x:mergeCell ref="J14:K14"/>
    <x:mergeCell ref="J15:K15"/>
    <x:mergeCell ref="J16:K16"/>
    <x:mergeCell ref="J17:K17"/>
    <x:mergeCell ref="A19:L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14" hidden="0" customWidth="1"/>
    <x:col min="5" max="5" width="12" hidden="0" customWidth="1"/>
    <x:col min="6" max="6" width="18" hidden="0" customWidth="1"/>
    <x:col min="7" max="7" width="18" hidden="0" customWidth="1"/>
    <x:col min="8" max="8" width="38" hidden="0" customWidth="1"/>
  </x:cols>
  <x:sheetData>
    <x:row r="1" ht="34" customHeight="1">
      <x:c r="A1" s="16" t="str">
        <x:v>数据检查
上传前必须确认所有待补项；红色项目会直接影响网站汇总</x:v>
      </x:c>
      <x:c r="B1" s="17" t="str">
        <x:v>数据检查
上传前必须确认所有待补项；红色项目会直接影响网站汇总</x:v>
      </x:c>
      <x:c r="C1" s="17" t="str">
        <x:v>数据检查
上传前必须确认所有待补项；红色项目会直接影响网站汇总</x:v>
      </x:c>
      <x:c r="D1" s="17" t="str">
        <x:v>数据检查
上传前必须确认所有待补项；红色项目会直接影响网站汇总</x:v>
      </x:c>
      <x:c r="E1" s="17" t="str">
        <x:v>数据检查
上传前必须确认所有待补项；红色项目会直接影响网站汇总</x:v>
      </x:c>
      <x:c r="F1" s="17" t="str">
        <x:v>数据检查
上传前必须确认所有待补项；红色项目会直接影响网站汇总</x:v>
      </x:c>
      <x:c r="G1" s="17" t="str">
        <x:v>数据检查
上传前必须确认所有待补项；红色项目会直接影响网站汇总</x:v>
      </x:c>
      <x:c r="H1" s="18" t="str">
        <x:v>数据检查
上传前必须确认所有待补项；红色项目会直接影响网站汇总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数据检查
上传前必须确认所有待补项；红色项目会直接影响网站汇总</x:v>
      </x:c>
      <x:c r="B2" s="20" t="str">
        <x:v>数据检查
上传前必须确认所有待补项；红色项目会直接影响网站汇总</x:v>
      </x:c>
      <x:c r="C2" s="20" t="str">
        <x:v>数据检查
上传前必须确认所有待补项；红色项目会直接影响网站汇总</x:v>
      </x:c>
      <x:c r="D2" s="20" t="str">
        <x:v>数据检查
上传前必须确认所有待补项；红色项目会直接影响网站汇总</x:v>
      </x:c>
      <x:c r="E2" s="20" t="str">
        <x:v>数据检查
上传前必须确认所有待补项；红色项目会直接影响网站汇总</x:v>
      </x:c>
      <x:c r="F2" s="20" t="str">
        <x:v>数据检查
上传前必须确认所有待补项；红色项目会直接影响网站汇总</x:v>
      </x:c>
      <x:c r="G2" s="20" t="str">
        <x:v>数据检查
上传前必须确认所有待补项；红色项目会直接影响网站汇总</x:v>
      </x:c>
      <x:c r="H2" s="21" t="str">
        <x:v>数据检查
上传前必须确认所有待补项；红色项目会直接影响网站汇总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检查结果由采集页自动计算。允许没有业务的数据项填0；不得用0代替“尚未取得”。发现待补后，按“修正位置”返回对应工作表处理。</x:v>
      </x:c>
      <x:c r="B3" s="31" t="str">
        <x:v>检查结果由采集页自动计算。允许没有业务的数据项填0；不得用0代替“尚未取得”。发现待补后，按“修正位置”返回对应工作表处理。</x:v>
      </x:c>
      <x:c r="C3" s="31" t="str">
        <x:v>检查结果由采集页自动计算。允许没有业务的数据项填0；不得用0代替“尚未取得”。发现待补后，按“修正位置”返回对应工作表处理。</x:v>
      </x:c>
      <x:c r="D3" s="31" t="str">
        <x:v>检查结果由采集页自动计算。允许没有业务的数据项填0；不得用0代替“尚未取得”。发现待补后，按“修正位置”返回对应工作表处理。</x:v>
      </x:c>
      <x:c r="E3" s="31" t="str">
        <x:v>检查结果由采集页自动计算。允许没有业务的数据项填0；不得用0代替“尚未取得”。发现待补后，按“修正位置”返回对应工作表处理。</x:v>
      </x:c>
      <x:c r="F3" s="31" t="str">
        <x:v>检查结果由采集页自动计算。允许没有业务的数据项填0；不得用0代替“尚未取得”。发现待补后，按“修正位置”返回对应工作表处理。</x:v>
      </x:c>
      <x:c r="G3" s="31" t="str">
        <x:v>检查结果由采集页自动计算。允许没有业务的数据项填0；不得用0代替“尚未取得”。发现待补后，按“修正位置”返回对应工作表处理。</x:v>
      </x:c>
      <x:c r="H3" s="32" t="str">
        <x:v>检查结果由采集页自动计算。允许没有业务的数据项填0；不得用0代替“尚未取得”。发现待补后，按“修正位置”返回对应工作表处理。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34" customHeight="1">
      <x:c r="A5" s="129" t="str">
        <x:v>序号</x:v>
      </x:c>
      <x:c r="B5" s="130" t="str">
        <x:v>检查项目</x:v>
      </x:c>
      <x:c r="C5" s="130" t="str">
        <x:v>检查逻辑</x:v>
      </x:c>
      <x:c r="D5" s="130" t="str">
        <x:v>待补数量</x:v>
      </x:c>
      <x:c r="E5" s="130" t="str">
        <x:v>结果</x:v>
      </x:c>
      <x:c r="F5" s="130" t="str">
        <x:v>修正位置</x:v>
      </x:c>
      <x:c r="G5" s="130" t="str">
        <x:v>责任人</x:v>
      </x:c>
      <x:c r="H5" s="131" t="str">
        <x:v>说明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 ht="28" customHeight="1">
      <x:c r="A6" s="204" t="n">
        <x:v>1</x:v>
      </x:c>
      <x:c r="B6" s="205" t="str">
        <x:v>经营板块完整</x:v>
      </x:c>
      <x:c r="C6" s="205" t="str">
        <x:v>四个经营板块必须各有一行</x:v>
      </x:c>
      <x:c r="D6" s="218" t="n">
        <x:f>MAX(0,4-COUNTIF('经营采集'!$B$6:$B$35,"&lt;&gt;"))</x:f>
        <x:v>0</x:v>
      </x:c>
      <x:c r="E6" s="218" t="str">
        <x:f>IF(D6=0,"通过","待补")</x:f>
        <x:v>通过</x:v>
      </x:c>
      <x:c r="F6" s="205" t="str">
        <x:v>经营采集</x:v>
      </x:c>
      <x:c r="G6" s="205" t="str">
        <x:v>总经办</x:v>
      </x:c>
      <x:c r="H6" s="206" t="str">
        <x:v>缺少板块会造成公司合计偏低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28" customHeight="1">
      <x:c r="A7" s="154" t="n">
        <x:v>2</x:v>
      </x:c>
      <x:c r="B7" s="155" t="str">
        <x:v>经营必填字段</x:v>
      </x:c>
      <x:c r="C7" s="155" t="str">
        <x:v>有板块时销售/月累计/月目标不得为空</x:v>
      </x:c>
      <x:c r="D7" s="219" t="n">
        <x:f>COUNTIFS('经营采集'!$B$6:$B$35,"&lt;&gt;",'经营采集'!$D$6:$D$35,"")+COUNTIFS('经营采集'!$B$6:$B$35,"&lt;&gt;",'经营采集'!$F$6:$F$35,"")+COUNTIFS('经营采集'!$B$6:$B$35,"&lt;&gt;",'经营采集'!$G$6:$G$35,"")</x:f>
        <x:v>0</x:v>
      </x:c>
      <x:c r="E7" s="219" t="str">
        <x:f>IF(D7=0,"通过","待补")</x:f>
        <x:v>通过</x:v>
      </x:c>
      <x:c r="F7" s="155" t="str">
        <x:v>经营采集</x:v>
      </x:c>
      <x:c r="G7" s="155" t="str">
        <x:v>各经营负责人</x:v>
      </x:c>
      <x:c r="H7" s="207" t="str">
        <x:v>核心经营数据不允许缺失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28" customHeight="1">
      <x:c r="A8" s="154" t="n">
        <x:v>3</x:v>
      </x:c>
      <x:c r="B8" s="155" t="str">
        <x:v>经营责任信息</x:v>
      </x:c>
      <x:c r="C8" s="155" t="str">
        <x:v>负责人、来源、提供人、更新时间不得为空</x:v>
      </x:c>
      <x:c r="D8" s="219" t="n">
        <x:f>COUNTIFS('经营采集'!$B$6:$B$35,"&lt;&gt;",'经营采集'!$Y$6:$Y$35,"")+COUNTIFS('经营采集'!$B$6:$B$35,"&lt;&gt;",'经营采集'!$AB$6:$AB$35,"")+COUNTIFS('经营采集'!$B$6:$B$35,"&lt;&gt;",'经营采集'!$AC$6:$AC$35,"")+COUNTIFS('经营采集'!$B$6:$B$35,"&lt;&gt;",'经营采集'!$AD$6:$AD$35,"")</x:f>
        <x:v>0</x:v>
      </x:c>
      <x:c r="E8" s="219" t="str">
        <x:f>IF(D8=0,"通过","待补")</x:f>
        <x:v>通过</x:v>
      </x:c>
      <x:c r="F8" s="155" t="str">
        <x:v>经营采集</x:v>
      </x:c>
      <x:c r="G8" s="155" t="str">
        <x:v>各经营负责人</x:v>
      </x:c>
      <x:c r="H8" s="207" t="str">
        <x:v>用于追溯数据口径和更新时间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28" customHeight="1">
      <x:c r="A9" s="154" t="n">
        <x:v>4</x:v>
      </x:c>
      <x:c r="B9" s="155" t="str">
        <x:v>管理必填字段</x:v>
      </x:c>
      <x:c r="C9" s="155" t="str">
        <x:v>有指标时当前值、责任人、来源不得为空</x:v>
      </x:c>
      <x:c r="D9" s="219" t="n">
        <x:f>COUNTIFS('管理采集'!$C$6:$C$35,"&lt;&gt;",'管理采集'!$D$6:$D$35,"")+COUNTIFS('管理采集'!$C$6:$C$35,"&lt;&gt;",'管理采集'!$J$6:$J$35,"")+COUNTIFS('管理采集'!$C$6:$C$35,"&lt;&gt;",'管理采集'!$N$6:$N$35,"")</x:f>
        <x:v>0</x:v>
      </x:c>
      <x:c r="E9" s="219" t="str">
        <x:f>IF(D9=0,"通过","待补")</x:f>
        <x:v>通过</x:v>
      </x:c>
      <x:c r="F9" s="155" t="str">
        <x:v>管理采集</x:v>
      </x:c>
      <x:c r="G9" s="155" t="str">
        <x:v>综合办/财务</x:v>
      </x:c>
      <x:c r="H9" s="207" t="str">
        <x:v>管理结论依赖责任和来源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28" customHeight="1">
      <x:c r="A10" s="154" t="n">
        <x:v>5</x:v>
      </x:c>
      <x:c r="B10" s="155" t="str">
        <x:v>事项责任信息</x:v>
      </x:c>
      <x:c r="C10" s="155" t="str">
        <x:v>有事项时负责人、下一步、截止日期不得为空</x:v>
      </x:c>
      <x:c r="D10" s="219" t="n">
        <x:f>COUNTIFS('事项风控'!$E$6:$E$55,"&lt;&gt;",'事项风控'!$H$6:$H$55,"")+COUNTIFS('事项风控'!$E$6:$E$55,"&lt;&gt;",'事项风控'!$L$6:$L$55,"")+COUNTIFS('事项风控'!$E$6:$E$55,"&lt;&gt;",'事项风控'!$M$6:$M$55,"")</x:f>
        <x:v>0</x:v>
      </x:c>
      <x:c r="E10" s="219" t="str">
        <x:f>IF(D10=0,"通过","待补")</x:f>
        <x:v>通过</x:v>
      </x:c>
      <x:c r="F10" s="155" t="str">
        <x:v>事项风控</x:v>
      </x:c>
      <x:c r="G10" s="155" t="str">
        <x:v>各事项负责人</x:v>
      </x:c>
      <x:c r="H10" s="207" t="str">
        <x:v>事项必须可执行、可追踪、可验收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 ht="28" customHeight="1">
      <x:c r="A11" s="154" t="n">
        <x:v>6</x:v>
      </x:c>
      <x:c r="B11" s="155" t="str">
        <x:v>老板介入说明</x:v>
      </x:c>
      <x:c r="C11" s="155" t="str">
        <x:v>老板介入为是时必须填写决策/协调请求</x:v>
      </x:c>
      <x:c r="D11" s="219" t="n">
        <x:f>COUNTIFS('事项风控'!$N$6:$N$55,"是",'事项风控'!$O$6:$O$55,"")</x:f>
        <x:v>0</x:v>
      </x:c>
      <x:c r="E11" s="219" t="str">
        <x:f>IF(D11=0,"通过","待补")</x:f>
        <x:v>通过</x:v>
      </x:c>
      <x:c r="F11" s="155" t="str">
        <x:v>事项风控</x:v>
      </x:c>
      <x:c r="G11" s="155" t="str">
        <x:v>总经办</x:v>
      </x:c>
      <x:c r="H11" s="207" t="str">
        <x:v>老板端将单独突出此类事项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28" customHeight="1">
      <x:c r="A12" s="154" t="n">
        <x:v>7</x:v>
      </x:c>
      <x:c r="B12" s="155" t="str">
        <x:v>门店异常说明</x:v>
      </x:c>
      <x:c r="C12" s="155" t="str">
        <x:v>状态为关注/预警时必须填写异常说明</x:v>
      </x:c>
      <x:c r="D12" s="219" t="n">
        <x:f>COUNTIFS('门店明细'!$P$6:$P$55,"关注",'门店明细'!$Q$6:$Q$55,"")+COUNTIFS('门店明细'!$P$6:$P$55,"预警",'门店明细'!$Q$6:$Q$55,"")</x:f>
        <x:v>0</x:v>
      </x:c>
      <x:c r="E12" s="219" t="str">
        <x:f>IF(D12=0,"通过","待补")</x:f>
        <x:v>通过</x:v>
      </x:c>
      <x:c r="F12" s="155" t="str">
        <x:v>门店明细</x:v>
      </x:c>
      <x:c r="G12" s="155" t="str">
        <x:v>APR负责人</x:v>
      </x:c>
      <x:c r="H12" s="207" t="str">
        <x:v>异常门店必须给出原因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 ht="28" customHeight="1">
      <x:c r="A13" s="157" t="n">
        <x:v>8</x:v>
      </x:c>
      <x:c r="B13" s="158" t="str">
        <x:v>内容链接</x:v>
      </x:c>
      <x:c r="C13" s="158" t="str">
        <x:v>有发布数量时必须填写完整链接</x:v>
      </x:c>
      <x:c r="D13" s="220" t="n">
        <x:f>COUNTIFS('内容传播'!$I$6:$I$55,"&gt;0",'内容传播'!$L$6:$L$55,"")</x:f>
        <x:v>0</x:v>
      </x:c>
      <x:c r="E13" s="220" t="str">
        <x:f>IF(D13=0,"通过","待补")</x:f>
        <x:v>通过</x:v>
      </x:c>
      <x:c r="F13" s="158" t="str">
        <x:v>内容传播</x:v>
      </x:c>
      <x:c r="G13" s="158" t="str">
        <x:v>内容负责人</x:v>
      </x:c>
      <x:c r="H13" s="208" t="str">
        <x:v>老板端需要有效跳转链接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>
      <x:c r="A15" s="249" t="str">
        <x:v>上传结论</x:v>
      </x:c>
      <x:c r="B15" s="249"/>
      <x:c r="C15" s="249"/>
      <x:c r="D15" s="258" t="str">
        <x:f>IF(SUM(D6:D13)=0,"可以上传","暂缓上传，先完成待补项")</x:f>
        <x:v>可以上传</x:v>
      </x:c>
      <x:c r="E15" s="259"/>
      <x:c r="F15" s="259"/>
      <x:c r="G15" s="259"/>
      <x:c r="H15" s="260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>
      <x:c r="A16" s="249" t="str">
        <x:v>待补合计</x:v>
      </x:c>
      <x:c r="B16" s="249"/>
      <x:c r="C16" s="249"/>
      <x:c r="D16" s="261" t="n">
        <x:f>SUM(D6:D13)</x:f>
        <x:v>0</x:v>
      </x:c>
      <x:c r="E16" s="262"/>
      <x:c r="F16" s="262"/>
      <x:c r="G16" s="262"/>
      <x:c r="H16" s="263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H2"/>
    <x:mergeCell ref="A3:H3"/>
    <x:mergeCell ref="D15:H15"/>
    <x:mergeCell ref="D16:H16"/>
    <x:mergeCell ref="A15:C15"/>
    <x:mergeCell ref="A16:C16"/>
  </x:mergeCells>
  <x:conditionalFormatting sqref="E6:E13">
    <x:cfRule type="containsText" dxfId="28" priority="1" operator="containsText" text="正常"/>
    <x:cfRule type="containsText" dxfId="29" priority="2" operator="containsText" text="已完成"/>
    <x:cfRule type="containsText" dxfId="30" priority="3" operator="containsText" text="关注"/>
    <x:cfRule type="containsText" dxfId="31" priority="4" operator="containsText" text="预警"/>
    <x:cfRule type="containsText" dxfId="32" priority="5" operator="containsText" text="逾期"/>
  </x:conditionalFormatting>
  <x:conditionalFormatting sqref="D15:H15">
    <x:cfRule type="containsText" dxfId="33" priority="6" operator="containsText" text="暂缓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18" hidden="0" customWidth="1"/>
    <x:col min="10" max="10" width="16" hidden="0" customWidth="1"/>
    <x:col min="11" max="11" width="22" hidden="0" customWidth="1"/>
    <x:col min="12" max="12" width="24" hidden="0" customWidth="1"/>
  </x:cols>
  <x:sheetData>
    <x:row r="1" ht="34" customHeight="1">
      <x:c r="A1" s="16" t="str">
        <x:v>江苏传天羽 · 经营管理简报
经营数据、管理保障、重点事项与风控</x:v>
      </x:c>
      <x:c r="B1" s="17" t="str">
        <x:v>江苏传天羽 · 经营管理简报
经营数据、管理保障、重点事项与风控</x:v>
      </x:c>
      <x:c r="C1" s="17" t="str">
        <x:v>江苏传天羽 · 经营管理简报
经营数据、管理保障、重点事项与风控</x:v>
      </x:c>
      <x:c r="D1" s="17" t="str">
        <x:v>江苏传天羽 · 经营管理简报
经营数据、管理保障、重点事项与风控</x:v>
      </x:c>
      <x:c r="E1" s="17" t="str">
        <x:v>江苏传天羽 · 经营管理简报
经营数据、管理保障、重点事项与风控</x:v>
      </x:c>
      <x:c r="F1" s="17" t="str">
        <x:v>江苏传天羽 · 经营管理简报
经营数据、管理保障、重点事项与风控</x:v>
      </x:c>
      <x:c r="G1" s="17" t="str">
        <x:v>江苏传天羽 · 经营管理简报
经营数据、管理保障、重点事项与风控</x:v>
      </x:c>
      <x:c r="H1" s="17" t="str">
        <x:v>江苏传天羽 · 经营管理简报
经营数据、管理保障、重点事项与风控</x:v>
      </x:c>
      <x:c r="I1" s="17" t="str">
        <x:v>江苏传天羽 · 经营管理简报
经营数据、管理保障、重点事项与风控</x:v>
      </x:c>
      <x:c r="J1" s="17" t="str">
        <x:v>江苏传天羽 · 经营管理简报
经营数据、管理保障、重点事项与风控</x:v>
      </x:c>
      <x:c r="K1" s="17" t="str">
        <x:v>江苏传天羽 · 经营管理简报
经营数据、管理保障、重点事项与风控</x:v>
      </x:c>
      <x:c r="L1" s="18" t="str">
        <x:v>江苏传天羽 · 经营管理简报
经营数据、管理保障、重点事项与风控</x:v>
      </x:c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江苏传天羽 · 经营管理简报
经营数据、管理保障、重点事项与风控</x:v>
      </x:c>
      <x:c r="B2" s="20" t="str">
        <x:v>江苏传天羽 · 经营管理简报
经营数据、管理保障、重点事项与风控</x:v>
      </x:c>
      <x:c r="C2" s="20" t="str">
        <x:v>江苏传天羽 · 经营管理简报
经营数据、管理保障、重点事项与风控</x:v>
      </x:c>
      <x:c r="D2" s="20" t="str">
        <x:v>江苏传天羽 · 经营管理简报
经营数据、管理保障、重点事项与风控</x:v>
      </x:c>
      <x:c r="E2" s="20" t="str">
        <x:v>江苏传天羽 · 经营管理简报
经营数据、管理保障、重点事项与风控</x:v>
      </x:c>
      <x:c r="F2" s="20" t="str">
        <x:v>江苏传天羽 · 经营管理简报
经营数据、管理保障、重点事项与风控</x:v>
      </x:c>
      <x:c r="G2" s="20" t="str">
        <x:v>江苏传天羽 · 经营管理简报
经营数据、管理保障、重点事项与风控</x:v>
      </x:c>
      <x:c r="H2" s="20" t="str">
        <x:v>江苏传天羽 · 经营管理简报
经营数据、管理保障、重点事项与风控</x:v>
      </x:c>
      <x:c r="I2" s="20" t="str">
        <x:v>江苏传天羽 · 经营管理简报
经营数据、管理保障、重点事项与风控</x:v>
      </x:c>
      <x:c r="J2" s="20" t="str">
        <x:v>江苏传天羽 · 经营管理简报
经营数据、管理保障、重点事项与风控</x:v>
      </x:c>
      <x:c r="K2" s="20" t="str">
        <x:v>江苏传天羽 · 经营管理简报
经营数据、管理保障、重点事项与风控</x:v>
      </x:c>
      <x:c r="L2" s="21" t="str">
        <x:v>江苏传天羽 · 经营管理简报
经营数据、管理保障、重点事项与风控</x:v>
      </x:c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265" t="str">
        <x:f>"报送日期："&amp;TEXT('简报摘要'!B5,"yyyy-mm-dd")&amp;"    数据截止："&amp;'简报摘要'!B6&amp;"    编制："&amp;'简报摘要'!B12&amp;"    状态："&amp;'简报摘要'!B13</x:f>
        <x:v>报送日期：2026-08-08    数据截止：08:30    编制：总经办    状态：待审核</x:v>
      </x:c>
      <x:c r="B3" s="265"/>
      <x:c r="C3" s="265"/>
      <x:c r="D3" s="265"/>
      <x:c r="E3" s="265"/>
      <x:c r="F3" s="265"/>
      <x:c r="G3" s="265"/>
      <x:c r="H3" s="265"/>
      <x:c r="I3" s="265"/>
      <x:c r="J3" s="265"/>
      <x:c r="K3" s="265"/>
      <x:c r="L3" s="265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24" customHeight="1">
      <x:c r="A5" s="36" t="str">
        <x:v>一、老板摘要</x:v>
      </x:c>
      <x:c r="B5" s="36" t="str">
        <x:v>一、老板摘要</x:v>
      </x:c>
      <x:c r="C5" s="36" t="str">
        <x:v>一、老板摘要</x:v>
      </x:c>
      <x:c r="D5" s="36" t="str">
        <x:v>一、老板摘要</x:v>
      </x:c>
      <x:c r="E5" s="36" t="str">
        <x:v>一、老板摘要</x:v>
      </x:c>
      <x:c r="F5" s="36" t="str">
        <x:v>一、老板摘要</x:v>
      </x:c>
      <x:c r="G5" s="36" t="str">
        <x:v>一、老板摘要</x:v>
      </x:c>
      <x:c r="H5" s="36" t="str">
        <x:v>一、老板摘要</x:v>
      </x:c>
      <x:c r="I5" s="36" t="str">
        <x:v>一、老板摘要</x:v>
      </x:c>
      <x:c r="J5" s="36" t="str">
        <x:v>一、老板摘要</x:v>
      </x:c>
      <x:c r="K5" s="36" t="str">
        <x:v>一、老板摘要</x:v>
      </x:c>
      <x:c r="L5" s="36" t="str">
        <x:v>一、老板摘要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 ht="35" customHeight="1">
      <x:c r="A6" s="269" t="str">
        <x:v>经营结论</x:v>
      </x:c>
      <x:c r="B6" s="63" t="str">
        <x:f>'简报摘要'!B7</x:f>
        <x:v>今日公司销售158.6万元，月累计达成24.1%，整体经营进度正常；APR门店贡献较高，Apple电商重点型号库存与国补审核需持续跟进。</x:v>
      </x:c>
      <x:c r="C6" s="286"/>
      <x:c r="D6" s="286"/>
      <x:c r="E6" s="286"/>
      <x:c r="F6" s="286"/>
      <x:c r="G6" s="286"/>
      <x:c r="H6" s="286"/>
      <x:c r="I6" s="286"/>
      <x:c r="J6" s="286"/>
      <x:c r="K6" s="286"/>
      <x:c r="L6" s="6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35" customHeight="1">
      <x:c r="A7" s="270" t="str">
        <x:v>经营亮点</x:v>
      </x:c>
      <x:c r="B7" s="287" t="str">
        <x:f>'简报摘要'!B8</x:f>
        <x:v>APR门店销售贡献58.3%，舒尔电商毛利率表现较好，重点库存已纳入专项清理。</x:v>
      </x:c>
      <x:c r="C7" s="288"/>
      <x:c r="D7" s="288"/>
      <x:c r="E7" s="288"/>
      <x:c r="F7" s="288"/>
      <x:c r="G7" s="288"/>
      <x:c r="H7" s="288"/>
      <x:c r="I7" s="288"/>
      <x:c r="J7" s="288"/>
      <x:c r="K7" s="288"/>
      <x:c r="L7" s="289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35" customHeight="1">
      <x:c r="A8" s="273" t="str">
        <x:v>主要风险</x:v>
      </x:c>
      <x:c r="B8" s="287" t="str">
        <x:f>'简报摘要'!B9</x:f>
        <x:v>3PP超龄库存、舒尔90天+库存及逾期应收高于控制线。</x:v>
      </x:c>
      <x:c r="C8" s="288"/>
      <x:c r="D8" s="288"/>
      <x:c r="E8" s="288"/>
      <x:c r="F8" s="288"/>
      <x:c r="G8" s="288"/>
      <x:c r="H8" s="288"/>
      <x:c r="I8" s="288"/>
      <x:c r="J8" s="288"/>
      <x:c r="K8" s="288"/>
      <x:c r="L8" s="289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35" customHeight="1">
      <x:c r="A9" s="270" t="str">
        <x:v>重点事项</x:v>
      </x:c>
      <x:c r="B9" s="287" t="str">
        <x:f>'简报摘要'!B10</x:f>
        <x:v>推进Apple异常订单举证、舒尔库存清理、3PP库存调剂及线上低库存SKU补货。</x:v>
      </x:c>
      <x:c r="C9" s="288"/>
      <x:c r="D9" s="288"/>
      <x:c r="E9" s="288"/>
      <x:c r="F9" s="288"/>
      <x:c r="G9" s="288"/>
      <x:c r="H9" s="288"/>
      <x:c r="I9" s="288"/>
      <x:c r="J9" s="288"/>
      <x:c r="K9" s="288"/>
      <x:c r="L9" s="289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35" customHeight="1">
      <x:c r="A10" s="275" t="str">
        <x:v>老板决策</x:v>
      </x:c>
      <x:c r="B10" s="57" t="str">
        <x:f>'简报摘要'!B11</x:f>
        <x:v>逾期应收若在约定节点前仍无法确认回款日期，建议老板介入协调。</x:v>
      </x:c>
      <x:c r="C10" s="290"/>
      <x:c r="D10" s="290"/>
      <x:c r="E10" s="290"/>
      <x:c r="F10" s="290"/>
      <x:c r="G10" s="290"/>
      <x:c r="H10" s="290"/>
      <x:c r="I10" s="290"/>
      <x:c r="J10" s="290"/>
      <x:c r="K10" s="290"/>
      <x:c r="L10" s="55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24" customHeight="1">
      <x:c r="A12" s="36" t="str">
        <x:v>二、核心经营指标</x:v>
      </x:c>
      <x:c r="B12" s="36" t="str">
        <x:v>二、核心经营指标</x:v>
      </x:c>
      <x:c r="C12" s="36" t="str">
        <x:v>二、核心经营指标</x:v>
      </x:c>
      <x:c r="D12" s="36" t="str">
        <x:v>二、核心经营指标</x:v>
      </x:c>
      <x:c r="E12" s="36" t="str">
        <x:v>二、核心经营指标</x:v>
      </x:c>
      <x:c r="F12" s="36" t="str">
        <x:v>二、核心经营指标</x:v>
      </x:c>
      <x:c r="G12" s="36" t="str">
        <x:v>二、核心经营指标</x:v>
      </x:c>
      <x:c r="H12" s="36" t="str">
        <x:v>二、核心经营指标</x:v>
      </x:c>
      <x:c r="I12" s="36" t="str">
        <x:v>二、核心经营指标</x:v>
      </x:c>
      <x:c r="J12" s="36" t="str">
        <x:v>二、核心经营指标</x:v>
      </x:c>
      <x:c r="K12" s="36" t="str">
        <x:v>二、核心经营指标</x:v>
      </x:c>
      <x:c r="L12" s="36" t="str">
        <x:v>二、核心经营指标</x:v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>
      <x:c r="A13" s="309" t="str">
        <x:v>本期销售额</x:v>
      </x:c>
      <x:c r="B13" s="295" t="str">
        <x:v>本期销售额</x:v>
      </x:c>
      <x:c r="C13" s="296" t="str">
        <x:v>本期销售额</x:v>
      </x:c>
      <x:c r="D13" s="318" t="str">
        <x:v>本期毛利额</x:v>
      </x:c>
      <x:c r="E13" s="295" t="str">
        <x:v>本期毛利额</x:v>
      </x:c>
      <x:c r="F13" s="296" t="str">
        <x:v>本期毛利额</x:v>
      </x:c>
      <x:c r="G13" s="327" t="str">
        <x:v>月累计达成</x:v>
      </x:c>
      <x:c r="H13" s="295" t="str">
        <x:v>月累计达成</x:v>
      </x:c>
      <x:c r="I13" s="296" t="str">
        <x:v>月累计达成</x:v>
      </x:c>
      <x:c r="J13" s="336" t="str">
        <x:v>90天+库存</x:v>
      </x:c>
      <x:c r="K13" s="295" t="str">
        <x:v>90天+库存</x:v>
      </x:c>
      <x:c r="L13" s="296" t="str">
        <x:v>90天+库存</x:v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>
      <x:c r="A14" s="310" t="str">
        <x:f>TEXT(SUM('经营采集'!D6:D35)/10000,"0.0")&amp;" 万元"</x:f>
        <x:v>158.6 万元</x:v>
      </x:c>
      <x:c r="B14" s="301"/>
      <x:c r="C14" s="302"/>
      <x:c r="D14" s="319" t="str">
        <x:f>TEXT(SUM('经营采集'!J6:J35)/10000,"0.0")&amp;" 万元"</x:f>
        <x:v>18.8 万元</x:v>
      </x:c>
      <x:c r="E14" s="316"/>
      <x:c r="F14" s="317"/>
      <x:c r="G14" s="328" t="str">
        <x:f>TEXT(IFERROR(SUM('经营采集'!F6:F35)/SUM('经营采集'!G6:G35),0),"0.0%")</x:f>
        <x:v>24.1%</x:v>
      </x:c>
      <x:c r="H14" s="325"/>
      <x:c r="I14" s="326"/>
      <x:c r="J14" s="337" t="str">
        <x:f>TEXT(SUM('经营采集'!T6:T35)/10000,"0.0")&amp;" 万元"</x:f>
        <x:v>197.0 万元</x:v>
      </x:c>
      <x:c r="K14" s="334"/>
      <x:c r="L14" s="335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>
      <x:c r="A15" s="311" t="str">
        <x:v>四个经营板块合计</x:v>
      </x:c>
      <x:c r="B15" s="307" t="str">
        <x:v>四个经营板块合计</x:v>
      </x:c>
      <x:c r="C15" s="308" t="str">
        <x:v>四个经营板块合计</x:v>
      </x:c>
      <x:c r="D15" s="320" t="str">
        <x:v>毛利率按销售加权</x:v>
      </x:c>
      <x:c r="E15" s="307" t="str">
        <x:v>毛利率按销售加权</x:v>
      </x:c>
      <x:c r="F15" s="308" t="str">
        <x:v>毛利率按销售加权</x:v>
      </x:c>
      <x:c r="G15" s="329" t="str">
        <x:v>按月度目标</x:v>
      </x:c>
      <x:c r="H15" s="307" t="str">
        <x:v>按月度目标</x:v>
      </x:c>
      <x:c r="I15" s="308" t="str">
        <x:v>按月度目标</x:v>
      </x:c>
      <x:c r="J15" s="338" t="str">
        <x:v>需持续推进消化</x:v>
      </x:c>
      <x:c r="K15" s="307" t="str">
        <x:v>需持续推进消化</x:v>
      </x:c>
      <x:c r="L15" s="308" t="str">
        <x:v>需持续推进消化</x:v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 ht="34" customHeight="1">
      <x:c r="A17" s="129" t="str">
        <x:v>业务板块</x:v>
      </x:c>
      <x:c r="B17" s="130" t="str">
        <x:v>本期销售（元）</x:v>
      </x:c>
      <x:c r="C17" s="130" t="str">
        <x:v>月累计（元）</x:v>
      </x:c>
      <x:c r="D17" s="130" t="str">
        <x:v>月目标（元）</x:v>
      </x:c>
      <x:c r="E17" s="130" t="str">
        <x:v>达成率</x:v>
      </x:c>
      <x:c r="F17" s="130" t="str">
        <x:v>毛利率</x:v>
      </x:c>
      <x:c r="G17" s="131" t="str">
        <x:v>90天+库存（元）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 ht="28" customHeight="1">
      <x:c r="A18" s="204" t="str">
        <x:v>APR门店</x:v>
      </x:c>
      <x:c r="B18" s="339" t="n">
        <x:f>SUMIF('经营采集'!$B$6:$B$35,$A18,'经营采集'!$D$6:$D$35)</x:f>
        <x:v>924000</x:v>
      </x:c>
      <x:c r="C18" s="339" t="n">
        <x:f>SUMIF('经营采集'!$B$6:$B$35,$A18,'经营采集'!$F$6:$F$35)</x:f>
        <x:v>7210000</x:v>
      </x:c>
      <x:c r="D18" s="339" t="n">
        <x:f>SUMIF('经营采集'!$B$6:$B$35,$A18,'经营采集'!$G$6:$G$35)</x:f>
        <x:v>31000000</x:v>
      </x:c>
      <x:c r="E18" s="342" t="n">
        <x:f>IFERROR(C18/D18,0)</x:f>
        <x:v>0.23258064516129032</x:v>
      </x:c>
      <x:c r="F18" s="342" t="n">
        <x:f>IFERROR(SUMIF('经营采集'!$B$6:$B$35,$A18,'经营采集'!$J$6:$J$35)/B18,0)</x:f>
        <x:v>0.108</x:v>
      </x:c>
      <x:c r="G18" s="345" t="n">
        <x:f>SUMIF('经营采集'!$B$6:$B$35,$A18,'经营采集'!$T$6:$T$35)</x:f>
        <x:v>460000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 ht="28" customHeight="1">
      <x:c r="A19" s="154" t="str">
        <x:v>Apple电商</x:v>
      </x:c>
      <x:c r="B19" s="340" t="n">
        <x:f>SUMIF('经营采集'!$B$6:$B$35,$A19,'经营采集'!$D$6:$D$35)</x:f>
        <x:v>387000</x:v>
      </x:c>
      <x:c r="C19" s="340" t="n">
        <x:f>SUMIF('经营采集'!$B$6:$B$35,$A19,'经营采集'!$F$6:$F$35)</x:f>
        <x:v>3260000</x:v>
      </x:c>
      <x:c r="D19" s="340" t="n">
        <x:f>SUMIF('经营采集'!$B$6:$B$35,$A19,'经营采集'!$G$6:$G$35)</x:f>
        <x:v>12800000</x:v>
      </x:c>
      <x:c r="E19" s="343" t="n">
        <x:f>IFERROR(C19/D19,0)</x:f>
        <x:v>0.2546875</x:v>
      </x:c>
      <x:c r="F19" s="343" t="n">
        <x:f>IFERROR(SUMIF('经营采集'!$B$6:$B$35,$A19,'经营采集'!$J$6:$J$35)/B19,0)</x:f>
        <x:v>0.087</x:v>
      </x:c>
      <x:c r="G19" s="346" t="n">
        <x:f>SUMIF('经营采集'!$B$6:$B$35,$A19,'经营采集'!$T$6:$T$35)</x:f>
        <x:v>320000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 ht="28" customHeight="1">
      <x:c r="A20" s="154" t="str">
        <x:v>舒尔电商</x:v>
      </x:c>
      <x:c r="B20" s="340" t="n">
        <x:f>SUMIF('经营采集'!$B$6:$B$35,$A20,'经营采集'!$D$6:$D$35)</x:f>
        <x:v>168000</x:v>
      </x:c>
      <x:c r="C20" s="340" t="n">
        <x:f>SUMIF('经营采集'!$B$6:$B$35,$A20,'经营采集'!$F$6:$F$35)</x:f>
        <x:v>1390000</x:v>
      </x:c>
      <x:c r="D20" s="340" t="n">
        <x:f>SUMIF('经营采集'!$B$6:$B$35,$A20,'经营采集'!$G$6:$G$35)</x:f>
        <x:v>5200000</x:v>
      </x:c>
      <x:c r="E20" s="343" t="n">
        <x:f>IFERROR(C20/D20,0)</x:f>
        <x:v>0.2673076923076923</x:v>
      </x:c>
      <x:c r="F20" s="343" t="n">
        <x:f>IFERROR(SUMIF('经营采集'!$B$6:$B$35,$A20,'经营采集'!$J$6:$J$35)/B20,0)</x:f>
        <x:v>0.186</x:v>
      </x:c>
      <x:c r="G20" s="346" t="n">
        <x:f>SUMIF('经营采集'!$B$6:$B$35,$A20,'经营采集'!$T$6:$T$35)</x:f>
        <x:v>580000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 ht="28" customHeight="1">
      <x:c r="A21" s="157" t="str">
        <x:v>3PP/渠道分销</x:v>
      </x:c>
      <x:c r="B21" s="341" t="n">
        <x:f>SUMIF('经营采集'!$B$6:$B$35,$A21,'经营采集'!$D$6:$D$35)</x:f>
        <x:v>107000</x:v>
      </x:c>
      <x:c r="C21" s="341" t="n">
        <x:f>SUMIF('经营采集'!$B$6:$B$35,$A21,'经营采集'!$F$6:$F$35)</x:f>
        <x:v>880000</x:v>
      </x:c>
      <x:c r="D21" s="341" t="n">
        <x:f>SUMIF('经营采集'!$B$6:$B$35,$A21,'经营采集'!$G$6:$G$35)</x:f>
        <x:v>3900000</x:v>
      </x:c>
      <x:c r="E21" s="344" t="n">
        <x:f>IFERROR(C21/D21,0)</x:f>
        <x:v>0.22564102564102564</x:v>
      </x:c>
      <x:c r="F21" s="344" t="n">
        <x:f>IFERROR(SUMIF('经营采集'!$B$6:$B$35,$A21,'经营采集'!$J$6:$J$35)/B21,0)</x:f>
        <x:v>0.214</x:v>
      </x:c>
      <x:c r="G21" s="347" t="n">
        <x:f>SUMIF('经营采集'!$B$6:$B$35,$A21,'经营采集'!$T$6:$T$35)</x:f>
        <x:v>610000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 ht="24" customHeight="1">
      <x:c r="A31" s="36" t="str">
        <x:v>三、重点事项与风控</x:v>
      </x:c>
      <x:c r="B31" s="36" t="str">
        <x:v>三、重点事项与风控</x:v>
      </x:c>
      <x:c r="C31" s="36" t="str">
        <x:v>三、重点事项与风控</x:v>
      </x:c>
      <x:c r="D31" s="36" t="str">
        <x:v>三、重点事项与风控</x:v>
      </x:c>
      <x:c r="E31" s="36" t="str">
        <x:v>三、重点事项与风控</x:v>
      </x:c>
      <x:c r="F31" s="36" t="str">
        <x:v>三、重点事项与风控</x:v>
      </x:c>
      <x:c r="G31" s="36" t="str">
        <x:v>三、重点事项与风控</x:v>
      </x:c>
      <x:c r="H31" s="36" t="str">
        <x:v>三、重点事项与风控</x:v>
      </x:c>
      <x:c r="I31" s="36" t="str">
        <x:v>三、重点事项与风控</x:v>
      </x:c>
      <x:c r="J31" s="36" t="str">
        <x:v>三、重点事项与风控</x:v>
      </x:c>
      <x:c r="K31" s="36" t="str">
        <x:v>三、重点事项与风控</x:v>
      </x:c>
      <x:c r="L31" s="36" t="str">
        <x:v>三、重点事项与风控</x:v>
      </x:c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 ht="34" customHeight="1">
      <x:c r="A32" s="129" t="str">
        <x:v>等级</x:v>
      </x:c>
      <x:c r="B32" s="130" t="str">
        <x:v>事项类型</x:v>
      </x:c>
      <x:c r="C32" s="130" t="str">
        <x:v>事项</x:v>
      </x:c>
      <x:c r="D32" s="130" t="str">
        <x:v>影响</x:v>
      </x:c>
      <x:c r="E32" s="130" t="str">
        <x:v>负责人</x:v>
      </x:c>
      <x:c r="F32" s="130" t="str">
        <x:v>状态</x:v>
      </x:c>
      <x:c r="G32" s="130" t="str">
        <x:v>进度</x:v>
      </x:c>
      <x:c r="H32" s="130" t="str">
        <x:v>下一步动作</x:v>
      </x:c>
      <x:c r="I32" s="130" t="str">
        <x:v>截止日期</x:v>
      </x:c>
      <x:c r="J32" s="130" t="str">
        <x:v>老板介入</x:v>
      </x:c>
      <x:c r="K32" s="130" t="str">
        <x:v>决策请求</x:v>
      </x:c>
      <x:c r="L32" s="131" t="str">
        <x:v>闭环标准</x:v>
      </x:c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 ht="28" customHeight="1">
      <x:c r="A33" s="204" t="str">
        <x:f>'事项风控'!C6</x:f>
        <x:v>红</x:v>
      </x:c>
      <x:c r="B33" s="205" t="str">
        <x:f>'事项风控'!B6</x:f>
        <x:v>风险预警</x:v>
      </x:c>
      <x:c r="C33" s="205" t="str">
        <x:f>'事项风控'!E6</x:f>
        <x:v>Apple线上异常订单及国补审核</x:v>
      </x:c>
      <x:c r="D33" s="205" t="str">
        <x:f>'事项风控'!F6</x:f>
        <x:v>影响国补回款及平台合规</x:v>
      </x:c>
      <x:c r="E33" s="205" t="str">
        <x:f>'事项风控'!H6</x:f>
        <x:v>邵文昌</x:v>
      </x:c>
      <x:c r="F33" s="205" t="str">
        <x:f>'事项风控'!I6</x:f>
        <x:v>进行中</x:v>
      </x:c>
      <x:c r="G33" s="348" t="n">
        <x:f>'事项风控'!J6</x:f>
        <x:v>0.65</x:v>
      </x:c>
      <x:c r="H33" s="205" t="str">
        <x:f>'事项风控'!L6</x:f>
        <x:v>今晚形成清单并提交举证</x:v>
      </x:c>
      <x:c r="I33" s="351" t="n">
        <x:f>'事项风控'!M6</x:f>
        <x:v>46242</x:v>
      </x:c>
      <x:c r="J33" s="205" t="str">
        <x:f>'事项风控'!N6</x:f>
        <x:v>否</x:v>
      </x:c>
      <x:c r="K33" s="205" t="str">
        <x:f>'事项风控'!O6</x:f>
      </x:c>
      <x:c r="L33" s="206" t="str">
        <x:f>'事项风控'!P6</x:f>
        <x:v>异常订单全部提交并取得平台回执</x:v>
      </x:c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 ht="28" customHeight="1">
      <x:c r="A34" s="154" t="str">
        <x:f>'事项风控'!C7</x:f>
        <x:v>红</x:v>
      </x:c>
      <x:c r="B34" s="155" t="str">
        <x:f>'事项风控'!B7</x:f>
        <x:v>老板决策</x:v>
      </x:c>
      <x:c r="C34" s="155" t="str">
        <x:f>'事项风控'!E7</x:f>
        <x:v>逾期应收超过控制线</x:v>
      </x:c>
      <x:c r="D34" s="155" t="str">
        <x:f>'事项风控'!F7</x:f>
        <x:v>影响现金流及账期管理</x:v>
      </x:c>
      <x:c r="E34" s="155" t="str">
        <x:f>'事项风控'!H7</x:f>
        <x:v>财务负责人</x:v>
      </x:c>
      <x:c r="F34" s="155" t="str">
        <x:f>'事项风控'!I7</x:f>
        <x:v>预警</x:v>
      </x:c>
      <x:c r="G34" s="349" t="n">
        <x:f>'事项风控'!J7</x:f>
        <x:v>0.35</x:v>
      </x:c>
      <x:c r="H34" s="155" t="str">
        <x:f>'事项风控'!L7</x:f>
        <x:v>锁定渠道并明确回款日期</x:v>
      </x:c>
      <x:c r="I34" s="352" t="n">
        <x:f>'事项风控'!M7</x:f>
        <x:v>46244</x:v>
      </x:c>
      <x:c r="J34" s="155" t="str">
        <x:f>'事项风控'!N7</x:f>
        <x:v>是</x:v>
      </x:c>
      <x:c r="K34" s="155" t="str">
        <x:f>'事项风控'!O7</x:f>
        <x:v>若节点前仍无法确认回款日，请协调渠道负责人</x:v>
      </x:c>
      <x:c r="L34" s="207" t="str">
        <x:f>'事项风控'!P7</x:f>
        <x:v>取得书面回款节点并纳入台账</x:v>
      </x:c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 ht="28" customHeight="1">
      <x:c r="A35" s="154" t="str">
        <x:f>'事项风控'!C8</x:f>
        <x:v>黄</x:v>
      </x:c>
      <x:c r="B35" s="155" t="str">
        <x:f>'事项风控'!B8</x:f>
        <x:v>重点事项</x:v>
      </x:c>
      <x:c r="C35" s="155" t="str">
        <x:f>'事项风控'!E8</x:f>
        <x:v>舒尔90天+库存清理</x:v>
      </x:c>
      <x:c r="D35" s="155" t="str">
        <x:f>'事项风控'!F8</x:f>
        <x:v>占用库存资金，影响大促前库存健康</x:v>
      </x:c>
      <x:c r="E35" s="155" t="str">
        <x:f>'事项风控'!H8</x:f>
        <x:v>任毅/王文学</x:v>
      </x:c>
      <x:c r="F35" s="155" t="str">
        <x:f>'事项风控'!I8</x:f>
        <x:v>进行中</x:v>
      </x:c>
      <x:c r="G35" s="349" t="n">
        <x:f>'事项风控'!J8</x:f>
        <x:v>0.45</x:v>
      </x:c>
      <x:c r="H35" s="155" t="str">
        <x:f>'事项风控'!L8</x:f>
        <x:v>形成SKU级周清理目标</x:v>
      </x:c>
      <x:c r="I35" s="352" t="n">
        <x:f>'事项风控'!M8</x:f>
        <x:v>46249</x:v>
      </x:c>
      <x:c r="J35" s="155" t="str">
        <x:f>'事项风控'!N8</x:f>
        <x:v>否</x:v>
      </x:c>
      <x:c r="K35" s="155" t="str">
        <x:f>'事项风控'!O8</x:f>
      </x:c>
      <x:c r="L35" s="207" t="str">
        <x:f>'事项风控'!P8</x:f>
        <x:v>90天+库存按周目标下降</x:v>
      </x:c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 ht="28" customHeight="1">
      <x:c r="A36" s="154" t="str">
        <x:f>'事项风控'!C9</x:f>
        <x:v>黄</x:v>
      </x:c>
      <x:c r="B36" s="155" t="str">
        <x:f>'事项风控'!B9</x:f>
        <x:v>风险预警</x:v>
      </x:c>
      <x:c r="C36" s="155" t="str">
        <x:f>'事项风控'!E9</x:f>
        <x:v>3PP超龄库存处理</x:v>
      </x:c>
      <x:c r="D36" s="155" t="str">
        <x:f>'事项风控'!F9</x:f>
        <x:v>影响库存周转及资金效率</x:v>
      </x:c>
      <x:c r="E36" s="155" t="str">
        <x:f>'事项风控'!H9</x:f>
        <x:v>王文学</x:v>
      </x:c>
      <x:c r="F36" s="155" t="str">
        <x:f>'事项风控'!I9</x:f>
        <x:v>有风险</x:v>
      </x:c>
      <x:c r="G36" s="349" t="n">
        <x:f>'事项风控'!J9</x:f>
        <x:v>0.4</x:v>
      </x:c>
      <x:c r="H36" s="155" t="str">
        <x:f>'事项风控'!L9</x:f>
        <x:v>推动门店调剂并明确价格策略</x:v>
      </x:c>
      <x:c r="I36" s="352" t="n">
        <x:f>'事项风控'!M9</x:f>
        <x:v>46244</x:v>
      </x:c>
      <x:c r="J36" s="155" t="str">
        <x:f>'事项风控'!N9</x:f>
        <x:v>否</x:v>
      </x:c>
      <x:c r="K36" s="155" t="str">
        <x:f>'事项风控'!O9</x:f>
      </x:c>
      <x:c r="L36" s="207" t="str">
        <x:f>'事项风控'!P9</x:f>
        <x:v>完成调剂清单并按计划消化</x:v>
      </x:c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 ht="28" customHeight="1">
      <x:c r="A37" s="157" t="str">
        <x:f>'事项风控'!C10</x:f>
        <x:v>黄</x:v>
      </x:c>
      <x:c r="B37" s="158" t="str">
        <x:f>'事项风控'!B10</x:f>
        <x:v>重点事项</x:v>
      </x:c>
      <x:c r="C37" s="158" t="str">
        <x:f>'事项风控'!E10</x:f>
        <x:v>线上重点SKU库存覆盖不足</x:v>
      </x:c>
      <x:c r="D37" s="158" t="str">
        <x:f>'事项风控'!F10</x:f>
        <x:v>影响线上抓取及销售转化</x:v>
      </x:c>
      <x:c r="E37" s="158" t="str">
        <x:f>'事项风控'!H10</x:f>
        <x:v>黄思瑞</x:v>
      </x:c>
      <x:c r="F37" s="158" t="str">
        <x:f>'事项风控'!I10</x:f>
        <x:v>进行中</x:v>
      </x:c>
      <x:c r="G37" s="350" t="n">
        <x:f>'事项风控'!J10</x:f>
        <x:v>0.6</x:v>
      </x:c>
      <x:c r="H37" s="158" t="str">
        <x:f>'事项风控'!L10</x:f>
        <x:v>跨店调剂或提交补货</x:v>
      </x:c>
      <x:c r="I37" s="353" t="n">
        <x:f>'事项风控'!M10</x:f>
        <x:v>46244</x:v>
      </x:c>
      <x:c r="J37" s="158" t="str">
        <x:f>'事项风控'!N10</x:f>
        <x:v>否</x:v>
      </x:c>
      <x:c r="K37" s="158" t="str">
        <x:f>'事项风控'!O10</x:f>
      </x:c>
      <x:c r="L37" s="208" t="str">
        <x:f>'事项风控'!P10</x:f>
        <x:v>重点SKU达到平台抓取水位</x:v>
      </x:c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 ht="24" customHeight="1">
      <x:c r="A39" s="36" t="str">
        <x:v>四、管理保障与数据状态</x:v>
      </x:c>
      <x:c r="B39" s="36" t="str">
        <x:v>四、管理保障与数据状态</x:v>
      </x:c>
      <x:c r="C39" s="36" t="str">
        <x:v>四、管理保障与数据状态</x:v>
      </x:c>
      <x:c r="D39" s="36" t="str">
        <x:v>四、管理保障与数据状态</x:v>
      </x:c>
      <x:c r="E39" s="36" t="str">
        <x:v>四、管理保障与数据状态</x:v>
      </x:c>
      <x:c r="F39" s="36" t="str">
        <x:v>四、管理保障与数据状态</x:v>
      </x:c>
      <x:c r="G39" s="36" t="str">
        <x:v>四、管理保障与数据状态</x:v>
      </x:c>
      <x:c r="H39" s="36" t="str">
        <x:v>四、管理保障与数据状态</x:v>
      </x:c>
      <x:c r="I39" s="36" t="str">
        <x:v>四、管理保障与数据状态</x:v>
      </x:c>
      <x:c r="J39" s="36" t="str">
        <x:v>四、管理保障与数据状态</x:v>
      </x:c>
      <x:c r="K39" s="36" t="str">
        <x:v>四、管理保障与数据状态</x:v>
      </x:c>
      <x:c r="L39" s="36" t="str">
        <x:v>四、管理保障与数据状态</x:v>
      </x:c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 ht="34" customHeight="1">
      <x:c r="A40" s="129" t="str">
        <x:v>管理指标</x:v>
      </x:c>
      <x:c r="B40" s="130" t="str">
        <x:v>当前值</x:v>
      </x:c>
      <x:c r="C40" s="130" t="str">
        <x:v>单位</x:v>
      </x:c>
      <x:c r="D40" s="130" t="str">
        <x:v>控制值</x:v>
      </x:c>
      <x:c r="E40" s="130" t="str">
        <x:v>状态</x:v>
      </x:c>
      <x:c r="F40" s="131" t="str">
        <x:v>负责人</x:v>
      </x:c>
      <x:c r="G40" s="1"/>
      <x:c r="H40" s="355" t="str">
        <x:v>上传前检查</x:v>
      </x:c>
      <x:c r="I40" s="355"/>
      <x:c r="J40" s="355"/>
      <x:c r="K40" s="355"/>
      <x:c r="L40" s="355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 ht="28" customHeight="1">
      <x:c r="A41" s="204" t="str">
        <x:f>'管理采集'!C6</x:f>
        <x:v>重点任务完成率</x:v>
      </x:c>
      <x:c r="B41" s="205" t="n">
        <x:f>'管理采集'!D6</x:f>
        <x:v>0.875</x:v>
      </x:c>
      <x:c r="C41" s="205" t="str">
        <x:f>'管理采集'!E6</x:f>
        <x:v>%</x:v>
      </x:c>
      <x:c r="D41" s="205" t="n">
        <x:f>'管理采集'!F6</x:f>
        <x:v>0.9</x:v>
      </x:c>
      <x:c r="E41" s="205" t="str">
        <x:f>'管理采集'!H6</x:f>
        <x:v>关注</x:v>
      </x:c>
      <x:c r="F41" s="206" t="str">
        <x:f>'管理采集'!J6</x:f>
        <x:v>综合办</x:v>
      </x:c>
      <x:c r="G41" s="1"/>
      <x:c r="H41" s="63" t="str">
        <x:f>'数据检查'!B6</x:f>
        <x:v>经营板块完整</x:v>
      </x:c>
      <x:c r="I41" s="286"/>
      <x:c r="J41" s="61"/>
      <x:c r="K41" s="370" t="str">
        <x:f>'数据检查'!E6</x:f>
        <x:v>通过</x:v>
      </x:c>
      <x:c r="L41" s="37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 ht="28" customHeight="1">
      <x:c r="A42" s="154" t="str">
        <x:f>'管理采集'!C7</x:f>
        <x:v>逾期事项</x:v>
      </x:c>
      <x:c r="B42" s="155" t="n">
        <x:f>'管理采集'!D7</x:f>
        <x:v>1</x:v>
      </x:c>
      <x:c r="C42" s="155" t="str">
        <x:f>'管理采集'!E7</x:f>
        <x:v>项</x:v>
      </x:c>
      <x:c r="D42" s="155" t="n">
        <x:f>'管理采集'!F7</x:f>
        <x:v>0</x:v>
      </x:c>
      <x:c r="E42" s="155" t="str">
        <x:f>'管理采集'!H7</x:f>
        <x:v>关注</x:v>
      </x:c>
      <x:c r="F42" s="207" t="str">
        <x:f>'管理采集'!J7</x:f>
        <x:v>综合办</x:v>
      </x:c>
      <x:c r="G42" s="1"/>
      <x:c r="H42" s="287" t="str">
        <x:f>'数据检查'!B7</x:f>
        <x:v>经营必填字段</x:v>
      </x:c>
      <x:c r="I42" s="288"/>
      <x:c r="J42" s="289"/>
      <x:c r="K42" s="372" t="str">
        <x:f>'数据检查'!E7</x:f>
        <x:v>通过</x:v>
      </x:c>
      <x:c r="L42" s="373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 ht="28" customHeight="1">
      <x:c r="A43" s="154" t="str">
        <x:f>'管理采集'!C8</x:f>
        <x:v>关键岗位缺编</x:v>
      </x:c>
      <x:c r="B43" s="155" t="n">
        <x:f>'管理采集'!D8</x:f>
        <x:v>8</x:v>
      </x:c>
      <x:c r="C43" s="155" t="str">
        <x:f>'管理采集'!E8</x:f>
        <x:v>人</x:v>
      </x:c>
      <x:c r="D43" s="155" t="n">
        <x:f>'管理采集'!F8</x:f>
        <x:v>5</x:v>
      </x:c>
      <x:c r="E43" s="155" t="str">
        <x:f>'管理采集'!H8</x:f>
        <x:v>关注</x:v>
      </x:c>
      <x:c r="F43" s="207" t="str">
        <x:f>'管理采集'!J8</x:f>
        <x:v>李婧岚</x:v>
      </x:c>
      <x:c r="G43" s="1"/>
      <x:c r="H43" s="287" t="str">
        <x:f>'数据检查'!B8</x:f>
        <x:v>经营责任信息</x:v>
      </x:c>
      <x:c r="I43" s="288"/>
      <x:c r="J43" s="289"/>
      <x:c r="K43" s="372" t="str">
        <x:f>'数据检查'!E8</x:f>
        <x:v>通过</x:v>
      </x:c>
      <x:c r="L43" s="373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 ht="28" customHeight="1">
      <x:c r="A44" s="154" t="str">
        <x:f>'管理采集'!C9</x:f>
        <x:v>逾期应收</x:v>
      </x:c>
      <x:c r="B44" s="155" t="n">
        <x:f>'管理采集'!D9</x:f>
        <x:v>420000</x:v>
      </x:c>
      <x:c r="C44" s="155" t="str">
        <x:f>'管理采集'!E9</x:f>
        <x:v>元</x:v>
      </x:c>
      <x:c r="D44" s="155" t="n">
        <x:f>'管理采集'!F9</x:f>
        <x:v>300000</x:v>
      </x:c>
      <x:c r="E44" s="155" t="str">
        <x:f>'管理采集'!H9</x:f>
        <x:v>关注</x:v>
      </x:c>
      <x:c r="F44" s="207" t="str">
        <x:f>'管理采集'!J9</x:f>
        <x:v>财务负责人</x:v>
      </x:c>
      <x:c r="G44" s="1"/>
      <x:c r="H44" s="287" t="str">
        <x:f>'数据检查'!B9</x:f>
        <x:v>管理必填字段</x:v>
      </x:c>
      <x:c r="I44" s="288"/>
      <x:c r="J44" s="289"/>
      <x:c r="K44" s="372" t="str">
        <x:f>'数据检查'!E9</x:f>
        <x:v>通过</x:v>
      </x:c>
      <x:c r="L44" s="373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 ht="28" customHeight="1">
      <x:c r="A45" s="154" t="str">
        <x:f>'管理采集'!C10</x:f>
        <x:v>返利待确认</x:v>
      </x:c>
      <x:c r="B45" s="155" t="n">
        <x:f>'管理采集'!D10</x:f>
        <x:v>310000</x:v>
      </x:c>
      <x:c r="C45" s="155" t="str">
        <x:f>'管理采集'!E10</x:f>
        <x:v>元</x:v>
      </x:c>
      <x:c r="D45" s="155" t="n">
        <x:f>'管理采集'!F10</x:f>
        <x:v>200000</x:v>
      </x:c>
      <x:c r="E45" s="155" t="str">
        <x:f>'管理采集'!H10</x:f>
        <x:v>关注</x:v>
      </x:c>
      <x:c r="F45" s="207" t="str">
        <x:f>'管理采集'!J10</x:f>
        <x:v>王文学</x:v>
      </x:c>
      <x:c r="G45" s="1"/>
      <x:c r="H45" s="287" t="str">
        <x:f>'数据检查'!B10</x:f>
        <x:v>事项责任信息</x:v>
      </x:c>
      <x:c r="I45" s="288"/>
      <x:c r="J45" s="289"/>
      <x:c r="K45" s="372" t="str">
        <x:f>'数据检查'!E10</x:f>
        <x:v>通过</x:v>
      </x:c>
      <x:c r="L45" s="373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 ht="28" customHeight="1">
      <x:c r="A46" s="157" t="str">
        <x:f>'管理采集'!C11</x:f>
        <x:v>低库存SKU</x:v>
      </x:c>
      <x:c r="B46" s="158" t="n">
        <x:f>'管理采集'!D11</x:f>
        <x:v>18</x:v>
      </x:c>
      <x:c r="C46" s="158" t="str">
        <x:f>'管理采集'!E11</x:f>
        <x:v>个</x:v>
      </x:c>
      <x:c r="D46" s="158" t="n">
        <x:f>'管理采集'!F11</x:f>
        <x:v>10</x:v>
      </x:c>
      <x:c r="E46" s="158" t="str">
        <x:f>'管理采集'!H11</x:f>
        <x:v>关注</x:v>
      </x:c>
      <x:c r="F46" s="208" t="str">
        <x:f>'管理采集'!J11</x:f>
        <x:v>王文学</x:v>
      </x:c>
      <x:c r="G46" s="1"/>
      <x:c r="H46" s="57" t="str">
        <x:f>'数据检查'!B11</x:f>
        <x:v>老板介入说明</x:v>
      </x:c>
      <x:c r="I46" s="290"/>
      <x:c r="J46" s="55"/>
      <x:c r="K46" s="374" t="str">
        <x:f>'数据检查'!E11</x:f>
        <x:v>通过</x:v>
      </x:c>
      <x:c r="L46" s="375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L2"/>
    <x:mergeCell ref="A3:L3"/>
    <x:mergeCell ref="A5:L5"/>
    <x:mergeCell ref="B6:L6"/>
    <x:mergeCell ref="B7:L7"/>
    <x:mergeCell ref="B8:L8"/>
    <x:mergeCell ref="B9:L9"/>
    <x:mergeCell ref="B10:L10"/>
    <x:mergeCell ref="A12:L12"/>
    <x:mergeCell ref="A13:C13"/>
    <x:mergeCell ref="A14:C14"/>
    <x:mergeCell ref="A15:C15"/>
    <x:mergeCell ref="D13:F13"/>
    <x:mergeCell ref="D14:F14"/>
    <x:mergeCell ref="D15:F15"/>
    <x:mergeCell ref="G13:I13"/>
    <x:mergeCell ref="G14:I14"/>
    <x:mergeCell ref="G15:I15"/>
    <x:mergeCell ref="J13:L13"/>
    <x:mergeCell ref="J14:L14"/>
    <x:mergeCell ref="J15:L15"/>
    <x:mergeCell ref="A31:L31"/>
    <x:mergeCell ref="A39:L39"/>
    <x:mergeCell ref="H40:L40"/>
    <x:mergeCell ref="H41:J41"/>
    <x:mergeCell ref="H42:J42"/>
    <x:mergeCell ref="H43:J43"/>
    <x:mergeCell ref="H44:J44"/>
    <x:mergeCell ref="H45:J45"/>
    <x:mergeCell ref="H46:J46"/>
    <x:mergeCell ref="K41:L41"/>
    <x:mergeCell ref="K42:L42"/>
    <x:mergeCell ref="K43:L43"/>
    <x:mergeCell ref="K44:L44"/>
    <x:mergeCell ref="K45:L45"/>
    <x:mergeCell ref="K46:L46"/>
  </x:mergeCells>
  <x:conditionalFormatting sqref="A33:A37">
    <x:cfRule type="containsText" dxfId="34" priority="1" operator="containsText" text="红"/>
    <x:cfRule type="containsText" dxfId="35" priority="2" operator="containsText" text="黄"/>
    <x:cfRule type="containsText" dxfId="36" priority="3" operator="containsText" text="蓝"/>
  </x:conditionalFormatting>
  <x:conditionalFormatting sqref="F33:F37">
    <x:cfRule type="containsText" dxfId="37" priority="4" operator="containsText" text="正常"/>
    <x:cfRule type="containsText" dxfId="38" priority="5" operator="containsText" text="已完成"/>
    <x:cfRule type="containsText" dxfId="39" priority="6" operator="containsText" text="关注"/>
    <x:cfRule type="containsText" dxfId="40" priority="7" operator="containsText" text="预警"/>
    <x:cfRule type="containsText" dxfId="41" priority="8" operator="containsText" text="逾期"/>
  </x:conditionalFormatting>
  <x:conditionalFormatting sqref="E41:E46">
    <x:cfRule type="containsText" dxfId="42" priority="9" operator="containsText" text="正常"/>
    <x:cfRule type="containsText" dxfId="43" priority="10" operator="containsText" text="已完成"/>
    <x:cfRule type="containsText" dxfId="44" priority="11" operator="containsText" text="关注"/>
    <x:cfRule type="containsText" dxfId="45" priority="12" operator="containsText" text="预警"/>
    <x:cfRule type="containsText" dxfId="46" priority="13" operator="containsText" text="逾期"/>
  </x:conditionalFormatting>
  <x:conditionalFormatting sqref="K41:L46">
    <x:cfRule type="containsText" dxfId="47" priority="14" operator="containsText" text="正常"/>
    <x:cfRule type="containsText" dxfId="48" priority="15" operator="containsText" text="已完成"/>
    <x:cfRule type="containsText" dxfId="49" priority="16" operator="containsText" text="关注"/>
    <x:cfRule type="containsText" dxfId="50" priority="17" operator="containsText" text="预警"/>
    <x:cfRule type="containsText" dxfId="51" priority="18" operator="containsText" text="逾期"/>
  </x:conditionalFormatting>
  <x:pageMargins left="0.7" right="0.7" top="0.75" bottom="0.75" header="0.3" footer="0.3"/>
  <x:drawing xmlns:r="http://schemas.openxmlformats.org/officeDocument/2006/relationships" r:id="Re1b1f5ce376b42a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16" t="str">
        <x:v>简报摘要
人工或AI整理后确认；网站优先读取本页内容</x:v>
      </x:c>
      <x:c r="B1" s="17" t="str">
        <x:v>简报摘要
人工或AI整理后确认；网站优先读取本页内容</x:v>
      </x:c>
      <x:c r="C1" s="17" t="str">
        <x:v>简报摘要
人工或AI整理后确认；网站优先读取本页内容</x:v>
      </x:c>
      <x:c r="D1" s="17" t="str">
        <x:v>简报摘要
人工或AI整理后确认；网站优先读取本页内容</x:v>
      </x:c>
      <x:c r="E1" s="17" t="str">
        <x:v>简报摘要
人工或AI整理后确认；网站优先读取本页内容</x:v>
      </x:c>
      <x:c r="F1" s="18" t="str">
        <x:v>简报摘要
人工或AI整理后确认；网站优先读取本页内容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简报摘要
人工或AI整理后确认；网站优先读取本页内容</x:v>
      </x:c>
      <x:c r="B2" s="20" t="str">
        <x:v>简报摘要
人工或AI整理后确认；网站优先读取本页内容</x:v>
      </x:c>
      <x:c r="C2" s="20" t="str">
        <x:v>简报摘要
人工或AI整理后确认；网站优先读取本页内容</x:v>
      </x:c>
      <x:c r="D2" s="20" t="str">
        <x:v>简报摘要
人工或AI整理后确认；网站优先读取本页内容</x:v>
      </x:c>
      <x:c r="E2" s="20" t="str">
        <x:v>简报摘要
人工或AI整理后确认；网站优先读取本页内容</x:v>
      </x:c>
      <x:c r="F2" s="21" t="str">
        <x:v>简报摘要
人工或AI整理后确认；网站优先读取本页内容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黄色区域为可编辑内容。若留空，网站将根据经营、管理和事项数据自动生成简要结论。</x:v>
      </x:c>
      <x:c r="B3" s="31" t="str">
        <x:v>黄色区域为可编辑内容。若留空，网站将根据经营、管理和事项数据自动生成简要结论。</x:v>
      </x:c>
      <x:c r="C3" s="31" t="str">
        <x:v>黄色区域为可编辑内容。若留空，网站将根据经营、管理和事项数据自动生成简要结论。</x:v>
      </x:c>
      <x:c r="D3" s="31" t="str">
        <x:v>黄色区域为可编辑内容。若留空，网站将根据经营、管理和事项数据自动生成简要结论。</x:v>
      </x:c>
      <x:c r="E3" s="31" t="str">
        <x:v>黄色区域为可编辑内容。若留空，网站将根据经营、管理和事项数据自动生成简要结论。</x:v>
      </x:c>
      <x:c r="F3" s="32" t="str">
        <x:v>黄色区域为可编辑内容。若留空，网站将根据经营、管理和事项数据自动生成简要结论。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>
      <x:c r="A5" s="164" t="str">
        <x:v>报送日期</x:v>
      </x:c>
      <x:c r="B5" s="193" t="n">
        <x:v>46242</x:v>
      </x:c>
      <x:c r="C5" s="187"/>
      <x:c r="D5" s="187"/>
      <x:c r="E5" s="187"/>
      <x:c r="F5" s="93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>
      <x:c r="A6" s="165" t="str">
        <x:v>数据截止</x:v>
      </x:c>
      <x:c r="B6" s="188" t="str">
        <x:v>08:30</x:v>
      </x:c>
      <x:c r="C6" s="189"/>
      <x:c r="D6" s="189"/>
      <x:c r="E6" s="189"/>
      <x:c r="F6" s="190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42" customHeight="1">
      <x:c r="A7" s="165" t="str">
        <x:v>经营结论</x:v>
      </x:c>
      <x:c r="B7" s="188" t="str">
        <x:v>今日公司销售158.6万元，月累计达成24.1%，整体经营进度正常；APR门店贡献较高，Apple电商重点型号库存与国补审核需持续跟进。</x:v>
      </x:c>
      <x:c r="C7" s="189"/>
      <x:c r="D7" s="189"/>
      <x:c r="E7" s="189"/>
      <x:c r="F7" s="190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42" customHeight="1">
      <x:c r="A8" s="165" t="str">
        <x:v>经营亮点</x:v>
      </x:c>
      <x:c r="B8" s="188" t="str">
        <x:v>APR门店销售贡献58.3%，舒尔电商毛利率表现较好，重点库存已纳入专项清理。</x:v>
      </x:c>
      <x:c r="C8" s="189"/>
      <x:c r="D8" s="189"/>
      <x:c r="E8" s="189"/>
      <x:c r="F8" s="190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42" customHeight="1">
      <x:c r="A9" s="165" t="str">
        <x:v>主要风险</x:v>
      </x:c>
      <x:c r="B9" s="188" t="str">
        <x:v>3PP超龄库存、舒尔90天+库存及逾期应收高于控制线。</x:v>
      </x:c>
      <x:c r="C9" s="189"/>
      <x:c r="D9" s="189"/>
      <x:c r="E9" s="189"/>
      <x:c r="F9" s="190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42" customHeight="1">
      <x:c r="A10" s="165" t="str">
        <x:v>重点事项</x:v>
      </x:c>
      <x:c r="B10" s="188" t="str">
        <x:v>推进Apple异常订单举证、舒尔库存清理、3PP库存调剂及线上低库存SKU补货。</x:v>
      </x:c>
      <x:c r="C10" s="189"/>
      <x:c r="D10" s="189"/>
      <x:c r="E10" s="189"/>
      <x:c r="F10" s="190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 ht="42" customHeight="1">
      <x:c r="A11" s="165" t="str">
        <x:v>老板决策</x:v>
      </x:c>
      <x:c r="B11" s="188" t="str">
        <x:v>逾期应收若在约定节点前仍无法确认回款日期，建议老板介入协调。</x:v>
      </x:c>
      <x:c r="C11" s="189"/>
      <x:c r="D11" s="189"/>
      <x:c r="E11" s="189"/>
      <x:c r="F11" s="190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>
      <x:c r="A12" s="165" t="str">
        <x:v>编制人</x:v>
      </x:c>
      <x:c r="B12" s="188" t="str">
        <x:v>总经办</x:v>
      </x:c>
      <x:c r="C12" s="189"/>
      <x:c r="D12" s="189"/>
      <x:c r="E12" s="189"/>
      <x:c r="F12" s="190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>
      <x:c r="A13" s="166" t="str">
        <x:v>审核状态</x:v>
      </x:c>
      <x:c r="B13" s="191" t="str">
        <x:v>待审核</x:v>
      </x:c>
      <x:c r="C13" s="192"/>
      <x:c r="D13" s="192"/>
      <x:c r="E13" s="192"/>
      <x:c r="F13" s="9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F2"/>
    <x:mergeCell ref="A3:F3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</x:mergeCells>
  <x:dataValidations count="1">
    <x:dataValidation type="list" sqref="B13">
      <x:formula1>"待审核,已审核,已发布"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1" hidden="0" customWidth="1"/>
    <x:col min="13" max="13" width="10" hidden="0" customWidth="1"/>
    <x:col min="14" max="14" width="13" hidden="0" customWidth="1"/>
    <x:col min="15" max="15" width="12" hidden="0" customWidth="1"/>
    <x:col min="16" max="16" width="16" hidden="0" customWidth="1"/>
    <x:col min="17" max="17" width="10" hidden="0" customWidth="1"/>
    <x:col min="18" max="18" width="12" hidden="0" customWidth="1"/>
    <x:col min="19" max="19" width="18" hidden="0" customWidth="1"/>
    <x:col min="20" max="20" width="18" hidden="0" customWidth="1"/>
    <x:col min="21" max="21" width="12" hidden="0" customWidth="1"/>
    <x:col min="22" max="22" width="14" hidden="0" customWidth="1"/>
    <x:col min="23" max="23" width="14" hidden="0" customWidth="1"/>
    <x:col min="24" max="24" width="12" hidden="0" customWidth="1"/>
    <x:col min="25" max="25" width="14" hidden="0" customWidth="1"/>
    <x:col min="26" max="26" width="30" hidden="0" customWidth="1"/>
    <x:col min="27" max="27" width="32" hidden="0" customWidth="1"/>
    <x:col min="28" max="28" width="22" hidden="0" customWidth="1"/>
    <x:col min="29" max="29" width="16" hidden="0" customWidth="1"/>
    <x:col min="30" max="30" width="20" hidden="0" customWidth="1"/>
  </x:cols>
  <x:sheetData>
    <x:row r="1" ht="34" customHeight="1">
      <x:c r="A1" s="16" t="str">
        <x:v>经营数据采集
每个业务板块一行；黄色为输入，浅蓝为公式；金额单位统一为元</x:v>
      </x:c>
      <x:c r="B1" s="17" t="str">
        <x:v>经营数据采集
每个业务板块一行；黄色为输入，浅蓝为公式；金额单位统一为元</x:v>
      </x:c>
      <x:c r="C1" s="17" t="str">
        <x:v>经营数据采集
每个业务板块一行；黄色为输入，浅蓝为公式；金额单位统一为元</x:v>
      </x:c>
      <x:c r="D1" s="17" t="str">
        <x:v>经营数据采集
每个业务板块一行；黄色为输入，浅蓝为公式；金额单位统一为元</x:v>
      </x:c>
      <x:c r="E1" s="17" t="str">
        <x:v>经营数据采集
每个业务板块一行；黄色为输入，浅蓝为公式；金额单位统一为元</x:v>
      </x:c>
      <x:c r="F1" s="17" t="str">
        <x:v>经营数据采集
每个业务板块一行；黄色为输入，浅蓝为公式；金额单位统一为元</x:v>
      </x:c>
      <x:c r="G1" s="17" t="str">
        <x:v>经营数据采集
每个业务板块一行；黄色为输入，浅蓝为公式；金额单位统一为元</x:v>
      </x:c>
      <x:c r="H1" s="17" t="str">
        <x:v>经营数据采集
每个业务板块一行；黄色为输入，浅蓝为公式；金额单位统一为元</x:v>
      </x:c>
      <x:c r="I1" s="17" t="str">
        <x:v>经营数据采集
每个业务板块一行；黄色为输入，浅蓝为公式；金额单位统一为元</x:v>
      </x:c>
      <x:c r="J1" s="17" t="str">
        <x:v>经营数据采集
每个业务板块一行；黄色为输入，浅蓝为公式；金额单位统一为元</x:v>
      </x:c>
      <x:c r="K1" s="17" t="str">
        <x:v>经营数据采集
每个业务板块一行；黄色为输入，浅蓝为公式；金额单位统一为元</x:v>
      </x:c>
      <x:c r="L1" s="17" t="str">
        <x:v>经营数据采集
每个业务板块一行；黄色为输入，浅蓝为公式；金额单位统一为元</x:v>
      </x:c>
      <x:c r="M1" s="17" t="str">
        <x:v>经营数据采集
每个业务板块一行；黄色为输入，浅蓝为公式；金额单位统一为元</x:v>
      </x:c>
      <x:c r="N1" s="17" t="str">
        <x:v>经营数据采集
每个业务板块一行；黄色为输入，浅蓝为公式；金额单位统一为元</x:v>
      </x:c>
      <x:c r="O1" s="17" t="str">
        <x:v>经营数据采集
每个业务板块一行；黄色为输入，浅蓝为公式；金额单位统一为元</x:v>
      </x:c>
      <x:c r="P1" s="17" t="str">
        <x:v>经营数据采集
每个业务板块一行；黄色为输入，浅蓝为公式；金额单位统一为元</x:v>
      </x:c>
      <x:c r="Q1" s="17" t="str">
        <x:v>经营数据采集
每个业务板块一行；黄色为输入，浅蓝为公式；金额单位统一为元</x:v>
      </x:c>
      <x:c r="R1" s="17" t="str">
        <x:v>经营数据采集
每个业务板块一行；黄色为输入，浅蓝为公式；金额单位统一为元</x:v>
      </x:c>
      <x:c r="S1" s="17" t="str">
        <x:v>经营数据采集
每个业务板块一行；黄色为输入，浅蓝为公式；金额单位统一为元</x:v>
      </x:c>
      <x:c r="T1" s="17" t="str">
        <x:v>经营数据采集
每个业务板块一行；黄色为输入，浅蓝为公式；金额单位统一为元</x:v>
      </x:c>
      <x:c r="U1" s="17" t="str">
        <x:v>经营数据采集
每个业务板块一行；黄色为输入，浅蓝为公式；金额单位统一为元</x:v>
      </x:c>
      <x:c r="V1" s="17" t="str">
        <x:v>经营数据采集
每个业务板块一行；黄色为输入，浅蓝为公式；金额单位统一为元</x:v>
      </x:c>
      <x:c r="W1" s="17" t="str">
        <x:v>经营数据采集
每个业务板块一行；黄色为输入，浅蓝为公式；金额单位统一为元</x:v>
      </x:c>
      <x:c r="X1" s="17" t="str">
        <x:v>经营数据采集
每个业务板块一行；黄色为输入，浅蓝为公式；金额单位统一为元</x:v>
      </x:c>
      <x:c r="Y1" s="17" t="str">
        <x:v>经营数据采集
每个业务板块一行；黄色为输入，浅蓝为公式；金额单位统一为元</x:v>
      </x:c>
      <x:c r="Z1" s="17" t="str">
        <x:v>经营数据采集
每个业务板块一行；黄色为输入，浅蓝为公式；金额单位统一为元</x:v>
      </x:c>
      <x:c r="AA1" s="17" t="str">
        <x:v>经营数据采集
每个业务板块一行；黄色为输入，浅蓝为公式；金额单位统一为元</x:v>
      </x:c>
      <x:c r="AB1" s="17" t="str">
        <x:v>经营数据采集
每个业务板块一行；黄色为输入，浅蓝为公式；金额单位统一为元</x:v>
      </x:c>
      <x:c r="AC1" s="17" t="str">
        <x:v>经营数据采集
每个业务板块一行；黄色为输入，浅蓝为公式；金额单位统一为元</x:v>
      </x:c>
      <x:c r="AD1" s="18" t="str">
        <x:v>经营数据采集
每个业务板块一行；黄色为输入，浅蓝为公式；金额单位统一为元</x:v>
      </x:c>
    </x:row>
    <x:row r="2" ht="34" customHeight="1">
      <x:c r="A2" s="19" t="str">
        <x:v>经营数据采集
每个业务板块一行；黄色为输入，浅蓝为公式；金额单位统一为元</x:v>
      </x:c>
      <x:c r="B2" s="20" t="str">
        <x:v>经营数据采集
每个业务板块一行；黄色为输入，浅蓝为公式；金额单位统一为元</x:v>
      </x:c>
      <x:c r="C2" s="20" t="str">
        <x:v>经营数据采集
每个业务板块一行；黄色为输入，浅蓝为公式；金额单位统一为元</x:v>
      </x:c>
      <x:c r="D2" s="20" t="str">
        <x:v>经营数据采集
每个业务板块一行；黄色为输入，浅蓝为公式；金额单位统一为元</x:v>
      </x:c>
      <x:c r="E2" s="20" t="str">
        <x:v>经营数据采集
每个业务板块一行；黄色为输入，浅蓝为公式；金额单位统一为元</x:v>
      </x:c>
      <x:c r="F2" s="20" t="str">
        <x:v>经营数据采集
每个业务板块一行；黄色为输入，浅蓝为公式；金额单位统一为元</x:v>
      </x:c>
      <x:c r="G2" s="20" t="str">
        <x:v>经营数据采集
每个业务板块一行；黄色为输入，浅蓝为公式；金额单位统一为元</x:v>
      </x:c>
      <x:c r="H2" s="20" t="str">
        <x:v>经营数据采集
每个业务板块一行；黄色为输入，浅蓝为公式；金额单位统一为元</x:v>
      </x:c>
      <x:c r="I2" s="20" t="str">
        <x:v>经营数据采集
每个业务板块一行；黄色为输入，浅蓝为公式；金额单位统一为元</x:v>
      </x:c>
      <x:c r="J2" s="20" t="str">
        <x:v>经营数据采集
每个业务板块一行；黄色为输入，浅蓝为公式；金额单位统一为元</x:v>
      </x:c>
      <x:c r="K2" s="20" t="str">
        <x:v>经营数据采集
每个业务板块一行；黄色为输入，浅蓝为公式；金额单位统一为元</x:v>
      </x:c>
      <x:c r="L2" s="20" t="str">
        <x:v>经营数据采集
每个业务板块一行；黄色为输入，浅蓝为公式；金额单位统一为元</x:v>
      </x:c>
      <x:c r="M2" s="20" t="str">
        <x:v>经营数据采集
每个业务板块一行；黄色为输入，浅蓝为公式；金额单位统一为元</x:v>
      </x:c>
      <x:c r="N2" s="20" t="str">
        <x:v>经营数据采集
每个业务板块一行；黄色为输入，浅蓝为公式；金额单位统一为元</x:v>
      </x:c>
      <x:c r="O2" s="20" t="str">
        <x:v>经营数据采集
每个业务板块一行；黄色为输入，浅蓝为公式；金额单位统一为元</x:v>
      </x:c>
      <x:c r="P2" s="20" t="str">
        <x:v>经营数据采集
每个业务板块一行；黄色为输入，浅蓝为公式；金额单位统一为元</x:v>
      </x:c>
      <x:c r="Q2" s="20" t="str">
        <x:v>经营数据采集
每个业务板块一行；黄色为输入，浅蓝为公式；金额单位统一为元</x:v>
      </x:c>
      <x:c r="R2" s="20" t="str">
        <x:v>经营数据采集
每个业务板块一行；黄色为输入，浅蓝为公式；金额单位统一为元</x:v>
      </x:c>
      <x:c r="S2" s="20" t="str">
        <x:v>经营数据采集
每个业务板块一行；黄色为输入，浅蓝为公式；金额单位统一为元</x:v>
      </x:c>
      <x:c r="T2" s="20" t="str">
        <x:v>经营数据采集
每个业务板块一行；黄色为输入，浅蓝为公式；金额单位统一为元</x:v>
      </x:c>
      <x:c r="U2" s="20" t="str">
        <x:v>经营数据采集
每个业务板块一行；黄色为输入，浅蓝为公式；金额单位统一为元</x:v>
      </x:c>
      <x:c r="V2" s="20" t="str">
        <x:v>经营数据采集
每个业务板块一行；黄色为输入，浅蓝为公式；金额单位统一为元</x:v>
      </x:c>
      <x:c r="W2" s="20" t="str">
        <x:v>经营数据采集
每个业务板块一行；黄色为输入，浅蓝为公式；金额单位统一为元</x:v>
      </x:c>
      <x:c r="X2" s="20" t="str">
        <x:v>经营数据采集
每个业务板块一行；黄色为输入，浅蓝为公式；金额单位统一为元</x:v>
      </x:c>
      <x:c r="Y2" s="20" t="str">
        <x:v>经营数据采集
每个业务板块一行；黄色为输入，浅蓝为公式；金额单位统一为元</x:v>
      </x:c>
      <x:c r="Z2" s="20" t="str">
        <x:v>经营数据采集
每个业务板块一行；黄色为输入，浅蓝为公式；金额单位统一为元</x:v>
      </x:c>
      <x:c r="AA2" s="20" t="str">
        <x:v>经营数据采集
每个业务板块一行；黄色为输入，浅蓝为公式；金额单位统一为元</x:v>
      </x:c>
      <x:c r="AB2" s="20" t="str">
        <x:v>经营数据采集
每个业务板块一行；黄色为输入，浅蓝为公式；金额单位统一为元</x:v>
      </x:c>
      <x:c r="AC2" s="20" t="str">
        <x:v>经营数据采集
每个业务板块一行；黄色为输入，浅蓝为公式；金额单位统一为元</x:v>
      </x:c>
      <x:c r="AD2" s="21" t="str">
        <x:v>经营数据采集
每个业务板块一行；黄色为输入，浅蓝为公式；金额单位统一为元</x:v>
      </x:c>
    </x:row>
    <x:row r="3">
      <x:c r="A3" s="30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B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C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D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E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F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G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H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I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J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K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L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M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N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O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P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Q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R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S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T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U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V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W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X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Y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Z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AA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AB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AC3" s="31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  <x:c r="AD3" s="32" t="str">
        <x:v>必填：报告日期、业务板块、渠道范围、本期销售额、月累计、月目标、负责人、关注点、下一步动作、数据来源、数据提供人、更新时间。确认为0时填0，未取得数据时留空并在关注点说明。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34" customHeight="1">
      <x:c r="A5" s="129" t="str">
        <x:v>报告日期</x:v>
      </x:c>
      <x:c r="B5" s="130" t="str">
        <x:v>业务板块</x:v>
      </x:c>
      <x:c r="C5" s="130" t="str">
        <x:v>渠道范围</x:v>
      </x:c>
      <x:c r="D5" s="130" t="str">
        <x:v>本期销售额（元）</x:v>
      </x:c>
      <x:c r="E5" s="130" t="str">
        <x:v>上一周期销售额（元）</x:v>
      </x:c>
      <x:c r="F5" s="130" t="str">
        <x:v>月累计（元）</x:v>
      </x:c>
      <x:c r="G5" s="130" t="str">
        <x:v>月目标（元）</x:v>
      </x:c>
      <x:c r="H5" s="130" t="str">
        <x:v>达成率</x:v>
      </x:c>
      <x:c r="I5" s="130" t="str">
        <x:v>环比</x:v>
      </x:c>
      <x:c r="J5" s="130" t="str">
        <x:v>毛利额（元）</x:v>
      </x:c>
      <x:c r="K5" s="130" t="str">
        <x:v>毛利率</x:v>
      </x:c>
      <x:c r="L5" s="130" t="str">
        <x:v>订单数</x:v>
      </x:c>
      <x:c r="M5" s="130" t="str">
        <x:v>销量</x:v>
      </x:c>
      <x:c r="N5" s="130" t="str">
        <x:v>访客/客流</x:v>
      </x:c>
      <x:c r="O5" s="130" t="str">
        <x:v>转化率</x:v>
      </x:c>
      <x:c r="P5" s="130" t="str">
        <x:v>推广费用（元）</x:v>
      </x:c>
      <x:c r="Q5" s="130" t="str">
        <x:v>ROI</x:v>
      </x:c>
      <x:c r="R5" s="130" t="str">
        <x:v>退货率</x:v>
      </x:c>
      <x:c r="S5" s="130" t="str">
        <x:v>库存金额（元）</x:v>
      </x:c>
      <x:c r="T5" s="130" t="str">
        <x:v>90天+库存（元）</x:v>
      </x:c>
      <x:c r="U5" s="130" t="str">
        <x:v>超龄占比</x:v>
      </x:c>
      <x:c r="V5" s="130" t="str">
        <x:v>低库存SKU数</x:v>
      </x:c>
      <x:c r="W5" s="130" t="str">
        <x:v>异常订单数</x:v>
      </x:c>
      <x:c r="X5" s="130" t="str">
        <x:v>状态</x:v>
      </x:c>
      <x:c r="Y5" s="130" t="str">
        <x:v>负责人</x:v>
      </x:c>
      <x:c r="Z5" s="130" t="str">
        <x:v>关注点</x:v>
      </x:c>
      <x:c r="AA5" s="130" t="str">
        <x:v>下一步动作</x:v>
      </x:c>
      <x:c r="AB5" s="130" t="str">
        <x:v>数据来源</x:v>
      </x:c>
      <x:c r="AC5" s="130" t="str">
        <x:v>数据提供人</x:v>
      </x:c>
      <x:c r="AD5" s="131" t="str">
        <x:v>更新时间</x:v>
      </x:c>
    </x:row>
    <x:row r="6" ht="28" customHeight="1">
      <x:c r="A6" s="221" t="n">
        <x:v>46242</x:v>
      </x:c>
      <x:c r="B6" s="210" t="str">
        <x:v>APR门店</x:v>
      </x:c>
      <x:c r="C6" s="210" t="str">
        <x:v>线下授权门店</x:v>
      </x:c>
      <x:c r="D6" s="224" t="n">
        <x:v>924000</x:v>
      </x:c>
      <x:c r="E6" s="224" t="n">
        <x:v>895000</x:v>
      </x:c>
      <x:c r="F6" s="224" t="n">
        <x:v>7210000</x:v>
      </x:c>
      <x:c r="G6" s="224" t="n">
        <x:v>31000000</x:v>
      </x:c>
      <x:c r="H6" s="227" t="n">
        <x:f>IF(B6="","",IFERROR(F6/G6,0))</x:f>
        <x:v>0.23258064516129032</x:v>
      </x:c>
      <x:c r="I6" s="227" t="n">
        <x:f>IF(B6="","",IFERROR(D6/E6-1,0))</x:f>
        <x:v>0.03240223463687153</x:v>
      </x:c>
      <x:c r="J6" s="224" t="n">
        <x:v>99792</x:v>
      </x:c>
      <x:c r="K6" s="227" t="n">
        <x:f>IF(B6="","",IFERROR(J6/D6,0))</x:f>
        <x:v>0.108</x:v>
      </x:c>
      <x:c r="L6" s="210" t="n">
        <x:v>1090</x:v>
      </x:c>
      <x:c r="M6" s="210" t="n">
        <x:v>1180</x:v>
      </x:c>
      <x:c r="N6" s="210" t="n">
        <x:v>10901</x:v>
      </x:c>
      <x:c r="O6" s="230" t="n">
        <x:v>0.1</x:v>
      </x:c>
      <x:c r="P6" s="224"/>
      <x:c r="Q6" s="233"/>
      <x:c r="R6" s="230"/>
      <x:c r="S6" s="224" t="n">
        <x:v>12800000</x:v>
      </x:c>
      <x:c r="T6" s="224" t="n">
        <x:v>460000</x:v>
      </x:c>
      <x:c r="U6" s="227" t="n">
        <x:f>IF(B6="","",IFERROR(T6/S6,0))</x:f>
        <x:v>0.0359375</x:v>
      </x:c>
      <x:c r="V6" s="210" t="n">
        <x:v>7</x:v>
      </x:c>
      <x:c r="W6" s="210" t="n">
        <x:v>0</x:v>
      </x:c>
      <x:c r="X6" s="210" t="str">
        <x:v>正常</x:v>
      </x:c>
      <x:c r="Y6" s="210" t="str">
        <x:v>黄思瑞</x:v>
      </x:c>
      <x:c r="Z6" s="210" t="str">
        <x:v>异常门店、配件占比、线上SKU覆盖</x:v>
      </x:c>
      <x:c r="AA6" s="210" t="str">
        <x:v>持续跟进低库存门店调剂与配件提升</x:v>
      </x:c>
      <x:c r="AB6" s="210" t="str">
        <x:v>门店日报/ERP</x:v>
      </x:c>
      <x:c r="AC6" s="210" t="str">
        <x:v>APR运营</x:v>
      </x:c>
      <x:c r="AD6" s="236" t="n">
        <x:v>46242.006944444445</x:v>
      </x:c>
    </x:row>
    <x:row r="7" ht="28" customHeight="1">
      <x:c r="A7" s="222" t="n">
        <x:v>46242</x:v>
      </x:c>
      <x:c r="B7" s="212" t="str">
        <x:v>Apple电商</x:v>
      </x:c>
      <x:c r="C7" s="212" t="str">
        <x:v>京东羽通 / 苏宁啟韬</x:v>
      </x:c>
      <x:c r="D7" s="225" t="n">
        <x:v>387000</x:v>
      </x:c>
      <x:c r="E7" s="225" t="n">
        <x:v>405000</x:v>
      </x:c>
      <x:c r="F7" s="225" t="n">
        <x:v>3260000</x:v>
      </x:c>
      <x:c r="G7" s="225" t="n">
        <x:v>12800000</x:v>
      </x:c>
      <x:c r="H7" s="228" t="n">
        <x:f>IF(B7="","",IFERROR(F7/G7,0))</x:f>
        <x:v>0.2546875</x:v>
      </x:c>
      <x:c r="I7" s="228" t="n">
        <x:f>IF(B7="","",IFERROR(D7/E7-1,0))</x:f>
        <x:v>-0.0444444444444444</x:v>
      </x:c>
      <x:c r="J7" s="225" t="n">
        <x:v>33669</x:v>
      </x:c>
      <x:c r="K7" s="228" t="n">
        <x:f>IF(B7="","",IFERROR(J7/D7,0))</x:f>
        <x:v>0.087</x:v>
      </x:c>
      <x:c r="L7" s="212" t="n">
        <x:v>2180</x:v>
      </x:c>
      <x:c r="M7" s="212" t="n">
        <x:v>2250</x:v>
      </x:c>
      <x:c r="N7" s="212" t="n">
        <x:v>58400</x:v>
      </x:c>
      <x:c r="O7" s="231" t="n">
        <x:v>0.0373</x:v>
      </x:c>
      <x:c r="P7" s="225" t="n">
        <x:v>113824</x:v>
      </x:c>
      <x:c r="Q7" s="234" t="n">
        <x:v>3.4</x:v>
      </x:c>
      <x:c r="R7" s="231" t="n">
        <x:v>0.007</x:v>
      </x:c>
      <x:c r="S7" s="225" t="n">
        <x:v>6800000</x:v>
      </x:c>
      <x:c r="T7" s="225" t="n">
        <x:v>320000</x:v>
      </x:c>
      <x:c r="U7" s="228" t="n">
        <x:f>IF(B7="","",IFERROR(T7/S7,0))</x:f>
        <x:v>0.047058823529411764</x:v>
      </x:c>
      <x:c r="V7" s="212" t="n">
        <x:v>12</x:v>
      </x:c>
      <x:c r="W7" s="212" t="n">
        <x:v>6</x:v>
      </x:c>
      <x:c r="X7" s="212" t="str">
        <x:v>关注</x:v>
      </x:c>
      <x:c r="Y7" s="212" t="str">
        <x:v>邵文昌</x:v>
      </x:c>
      <x:c r="Z7" s="212" t="str">
        <x:v>国补审核、Forecast、重点型号库存</x:v>
      </x:c>
      <x:c r="AA7" s="212" t="str">
        <x:v>形成补货、举证和异常订单清单</x:v>
      </x:c>
      <x:c r="AB7" s="212" t="str">
        <x:v>京麦/苏宁后台</x:v>
      </x:c>
      <x:c r="AC7" s="212" t="str">
        <x:v>赵驰</x:v>
      </x:c>
      <x:c r="AD7" s="237" t="n">
        <x:v>46242.00833333333</x:v>
      </x:c>
    </x:row>
    <x:row r="8" ht="28" customHeight="1">
      <x:c r="A8" s="222" t="n">
        <x:v>46242</x:v>
      </x:c>
      <x:c r="B8" s="212" t="str">
        <x:v>舒尔电商</x:v>
      </x:c>
      <x:c r="C8" s="212" t="str">
        <x:v>京东官方旗舰店 / 天猫官方旗舰店</x:v>
      </x:c>
      <x:c r="D8" s="225" t="n">
        <x:v>168000</x:v>
      </x:c>
      <x:c r="E8" s="225" t="n">
        <x:v>156000</x:v>
      </x:c>
      <x:c r="F8" s="225" t="n">
        <x:v>1390000</x:v>
      </x:c>
      <x:c r="G8" s="225" t="n">
        <x:v>5200000</x:v>
      </x:c>
      <x:c r="H8" s="228" t="n">
        <x:f>IF(B8="","",IFERROR(F8/G8,0))</x:f>
        <x:v>0.2673076923076923</x:v>
      </x:c>
      <x:c r="I8" s="228" t="n">
        <x:f>IF(B8="","",IFERROR(D8/E8-1,0))</x:f>
        <x:v>0.07692307692307687</x:v>
      </x:c>
      <x:c r="J8" s="225" t="n">
        <x:v>31248</x:v>
      </x:c>
      <x:c r="K8" s="228" t="n">
        <x:f>IF(B8="","",IFERROR(J8/D8,0))</x:f>
        <x:v>0.186</x:v>
      </x:c>
      <x:c r="L8" s="212" t="n">
        <x:v>650</x:v>
      </x:c>
      <x:c r="M8" s="212" t="n">
        <x:v>710</x:v>
      </x:c>
      <x:c r="N8" s="212" t="n">
        <x:v>12900</x:v>
      </x:c>
      <x:c r="O8" s="231" t="n">
        <x:v>0.0504</x:v>
      </x:c>
      <x:c r="P8" s="225" t="n">
        <x:v>54194</x:v>
      </x:c>
      <x:c r="Q8" s="234" t="n">
        <x:v>3.1</x:v>
      </x:c>
      <x:c r="R8" s="231" t="n">
        <x:v>0.021</x:v>
      </x:c>
      <x:c r="S8" s="225" t="n">
        <x:v>4260000</x:v>
      </x:c>
      <x:c r="T8" s="225" t="n">
        <x:v>580000</x:v>
      </x:c>
      <x:c r="U8" s="228" t="n">
        <x:f>IF(B8="","",IFERROR(T8/S8,0))</x:f>
        <x:v>0.13615023474178403</x:v>
      </x:c>
      <x:c r="V8" s="212" t="n">
        <x:v>8</x:v>
      </x:c>
      <x:c r="W8" s="212" t="n">
        <x:v>2</x:v>
      </x:c>
      <x:c r="X8" s="212" t="str">
        <x:v>关注</x:v>
      </x:c>
      <x:c r="Y8" s="212" t="str">
        <x:v>任毅</x:v>
      </x:c>
      <x:c r="Z8" s="212" t="str">
        <x:v>90天+库存、高存销比SKU、活动ROI</x:v>
      </x:c>
      <x:c r="AA8" s="212" t="str">
        <x:v>形成SKU级清理目标并分平台推进</x:v>
      </x:c>
      <x:c r="AB8" s="212" t="str">
        <x:v>京麦/千牛</x:v>
      </x:c>
      <x:c r="AC8" s="212" t="str">
        <x:v>方健</x:v>
      </x:c>
      <x:c r="AD8" s="237" t="n">
        <x:v>46242.010416666664</x:v>
      </x:c>
    </x:row>
    <x:row r="9" ht="28" customHeight="1">
      <x:c r="A9" s="222" t="n">
        <x:v>46242</x:v>
      </x:c>
      <x:c r="B9" s="212" t="str">
        <x:v>3PP/渠道分销</x:v>
      </x:c>
      <x:c r="C9" s="212" t="str">
        <x:v>Apple / Shure / 3PP</x:v>
      </x:c>
      <x:c r="D9" s="225" t="n">
        <x:v>107000</x:v>
      </x:c>
      <x:c r="E9" s="225" t="n">
        <x:v>99000</x:v>
      </x:c>
      <x:c r="F9" s="225" t="n">
        <x:v>880000</x:v>
      </x:c>
      <x:c r="G9" s="225" t="n">
        <x:v>3900000</x:v>
      </x:c>
      <x:c r="H9" s="228" t="n">
        <x:f>IF(B9="","",IFERROR(F9/G9,0))</x:f>
        <x:v>0.22564102564102564</x:v>
      </x:c>
      <x:c r="I9" s="228" t="n">
        <x:f>IF(B9="","",IFERROR(D9/E9-1,0))</x:f>
        <x:v>0.08080808080808088</x:v>
      </x:c>
      <x:c r="J9" s="225" t="n">
        <x:v>22898</x:v>
      </x:c>
      <x:c r="K9" s="228" t="n">
        <x:f>IF(B9="","",IFERROR(J9/D9,0))</x:f>
        <x:v>0.214</x:v>
      </x:c>
      <x:c r="L9" s="212" t="n">
        <x:v>34</x:v>
      </x:c>
      <x:c r="M9" s="212" t="n">
        <x:v>45</x:v>
      </x:c>
      <x:c r="N9" s="212"/>
      <x:c r="O9" s="231"/>
      <x:c r="P9" s="225"/>
      <x:c r="Q9" s="234"/>
      <x:c r="R9" s="231"/>
      <x:c r="S9" s="225" t="n">
        <x:v>4600000</x:v>
      </x:c>
      <x:c r="T9" s="225" t="n">
        <x:v>610000</x:v>
      </x:c>
      <x:c r="U9" s="228" t="n">
        <x:f>IF(B9="","",IFERROR(T9/S9,0))</x:f>
        <x:v>0.13260869565217392</x:v>
      </x:c>
      <x:c r="V9" s="212" t="n">
        <x:v>18</x:v>
      </x:c>
      <x:c r="W9" s="212" t="n">
        <x:v>0</x:v>
      </x:c>
      <x:c r="X9" s="212" t="str">
        <x:v>预警</x:v>
      </x:c>
      <x:c r="Y9" s="212" t="str">
        <x:v>王文学</x:v>
      </x:c>
      <x:c r="Z9" s="212" t="str">
        <x:v>超龄库存、渠道消化与合规激活风险</x:v>
      </x:c>
      <x:c r="AA9" s="212" t="str">
        <x:v>推动门店调剂并明确分销价格策略</x:v>
      </x:c>
      <x:c r="AB9" s="212" t="str">
        <x:v>销售台账/库存表</x:v>
      </x:c>
      <x:c r="AC9" s="212" t="str">
        <x:v>采销商务</x:v>
      </x:c>
      <x:c r="AD9" s="237" t="n">
        <x:v>46242.0125</x:v>
      </x:c>
    </x:row>
    <x:row r="10" ht="28" customHeight="1">
      <x:c r="A10" s="222"/>
      <x:c r="B10" s="212"/>
      <x:c r="C10" s="212"/>
      <x:c r="D10" s="225"/>
      <x:c r="E10" s="225"/>
      <x:c r="F10" s="225"/>
      <x:c r="G10" s="225"/>
      <x:c r="H10" s="228" t="str">
        <x:f>IF(B10="","",IFERROR(F10/G10,0))</x:f>
      </x:c>
      <x:c r="I10" s="228" t="str">
        <x:f>IF(B10="","",IFERROR(D10/E10-1,0))</x:f>
      </x:c>
      <x:c r="J10" s="225"/>
      <x:c r="K10" s="228" t="str">
        <x:f>IF(B10="","",IFERROR(J10/D10,0))</x:f>
      </x:c>
      <x:c r="L10" s="212"/>
      <x:c r="M10" s="212"/>
      <x:c r="N10" s="212"/>
      <x:c r="O10" s="231"/>
      <x:c r="P10" s="225"/>
      <x:c r="Q10" s="234"/>
      <x:c r="R10" s="231"/>
      <x:c r="S10" s="225"/>
      <x:c r="T10" s="225"/>
      <x:c r="U10" s="228" t="str">
        <x:f>IF(B10="","",IFERROR(T10/S10,0))</x:f>
      </x:c>
      <x:c r="V10" s="212"/>
      <x:c r="W10" s="212"/>
      <x:c r="X10" s="212"/>
      <x:c r="Y10" s="212"/>
      <x:c r="Z10" s="212"/>
      <x:c r="AA10" s="212"/>
      <x:c r="AB10" s="212"/>
      <x:c r="AC10" s="212"/>
      <x:c r="AD10" s="237"/>
    </x:row>
    <x:row r="11" ht="28" customHeight="1">
      <x:c r="A11" s="222"/>
      <x:c r="B11" s="212"/>
      <x:c r="C11" s="212"/>
      <x:c r="D11" s="225"/>
      <x:c r="E11" s="225"/>
      <x:c r="F11" s="225"/>
      <x:c r="G11" s="225"/>
      <x:c r="H11" s="228" t="str">
        <x:f>IF(B11="","",IFERROR(F11/G11,0))</x:f>
      </x:c>
      <x:c r="I11" s="228" t="str">
        <x:f>IF(B11="","",IFERROR(D11/E11-1,0))</x:f>
      </x:c>
      <x:c r="J11" s="225"/>
      <x:c r="K11" s="228" t="str">
        <x:f>IF(B11="","",IFERROR(J11/D11,0))</x:f>
      </x:c>
      <x:c r="L11" s="212"/>
      <x:c r="M11" s="212"/>
      <x:c r="N11" s="212"/>
      <x:c r="O11" s="231"/>
      <x:c r="P11" s="225"/>
      <x:c r="Q11" s="234"/>
      <x:c r="R11" s="231"/>
      <x:c r="S11" s="225"/>
      <x:c r="T11" s="225"/>
      <x:c r="U11" s="228" t="str">
        <x:f>IF(B11="","",IFERROR(T11/S11,0))</x:f>
      </x:c>
      <x:c r="V11" s="212"/>
      <x:c r="W11" s="212"/>
      <x:c r="X11" s="212"/>
      <x:c r="Y11" s="212"/>
      <x:c r="Z11" s="212"/>
      <x:c r="AA11" s="212"/>
      <x:c r="AB11" s="212"/>
      <x:c r="AC11" s="212"/>
      <x:c r="AD11" s="237"/>
    </x:row>
    <x:row r="12" ht="28" customHeight="1">
      <x:c r="A12" s="222"/>
      <x:c r="B12" s="212"/>
      <x:c r="C12" s="212"/>
      <x:c r="D12" s="225"/>
      <x:c r="E12" s="225"/>
      <x:c r="F12" s="225"/>
      <x:c r="G12" s="225"/>
      <x:c r="H12" s="228" t="str">
        <x:f>IF(B12="","",IFERROR(F12/G12,0))</x:f>
      </x:c>
      <x:c r="I12" s="228" t="str">
        <x:f>IF(B12="","",IFERROR(D12/E12-1,0))</x:f>
      </x:c>
      <x:c r="J12" s="225"/>
      <x:c r="K12" s="228" t="str">
        <x:f>IF(B12="","",IFERROR(J12/D12,0))</x:f>
      </x:c>
      <x:c r="L12" s="212"/>
      <x:c r="M12" s="212"/>
      <x:c r="N12" s="212"/>
      <x:c r="O12" s="231"/>
      <x:c r="P12" s="225"/>
      <x:c r="Q12" s="234"/>
      <x:c r="R12" s="231"/>
      <x:c r="S12" s="225"/>
      <x:c r="T12" s="225"/>
      <x:c r="U12" s="228" t="str">
        <x:f>IF(B12="","",IFERROR(T12/S12,0))</x:f>
      </x:c>
      <x:c r="V12" s="212"/>
      <x:c r="W12" s="212"/>
      <x:c r="X12" s="212"/>
      <x:c r="Y12" s="212"/>
      <x:c r="Z12" s="212"/>
      <x:c r="AA12" s="212"/>
      <x:c r="AB12" s="212"/>
      <x:c r="AC12" s="212"/>
      <x:c r="AD12" s="237"/>
    </x:row>
    <x:row r="13" ht="28" customHeight="1">
      <x:c r="A13" s="222"/>
      <x:c r="B13" s="212"/>
      <x:c r="C13" s="212"/>
      <x:c r="D13" s="225"/>
      <x:c r="E13" s="225"/>
      <x:c r="F13" s="225"/>
      <x:c r="G13" s="225"/>
      <x:c r="H13" s="228" t="str">
        <x:f>IF(B13="","",IFERROR(F13/G13,0))</x:f>
      </x:c>
      <x:c r="I13" s="228" t="str">
        <x:f>IF(B13="","",IFERROR(D13/E13-1,0))</x:f>
      </x:c>
      <x:c r="J13" s="225"/>
      <x:c r="K13" s="228" t="str">
        <x:f>IF(B13="","",IFERROR(J13/D13,0))</x:f>
      </x:c>
      <x:c r="L13" s="212"/>
      <x:c r="M13" s="212"/>
      <x:c r="N13" s="212"/>
      <x:c r="O13" s="231"/>
      <x:c r="P13" s="225"/>
      <x:c r="Q13" s="234"/>
      <x:c r="R13" s="231"/>
      <x:c r="S13" s="225"/>
      <x:c r="T13" s="225"/>
      <x:c r="U13" s="228" t="str">
        <x:f>IF(B13="","",IFERROR(T13/S13,0))</x:f>
      </x:c>
      <x:c r="V13" s="212"/>
      <x:c r="W13" s="212"/>
      <x:c r="X13" s="212"/>
      <x:c r="Y13" s="212"/>
      <x:c r="Z13" s="212"/>
      <x:c r="AA13" s="212"/>
      <x:c r="AB13" s="212"/>
      <x:c r="AC13" s="212"/>
      <x:c r="AD13" s="237"/>
    </x:row>
    <x:row r="14" ht="28" customHeight="1">
      <x:c r="A14" s="222"/>
      <x:c r="B14" s="212"/>
      <x:c r="C14" s="212"/>
      <x:c r="D14" s="225"/>
      <x:c r="E14" s="225"/>
      <x:c r="F14" s="225"/>
      <x:c r="G14" s="225"/>
      <x:c r="H14" s="228" t="str">
        <x:f>IF(B14="","",IFERROR(F14/G14,0))</x:f>
      </x:c>
      <x:c r="I14" s="228" t="str">
        <x:f>IF(B14="","",IFERROR(D14/E14-1,0))</x:f>
      </x:c>
      <x:c r="J14" s="225"/>
      <x:c r="K14" s="228" t="str">
        <x:f>IF(B14="","",IFERROR(J14/D14,0))</x:f>
      </x:c>
      <x:c r="L14" s="212"/>
      <x:c r="M14" s="212"/>
      <x:c r="N14" s="212"/>
      <x:c r="O14" s="231"/>
      <x:c r="P14" s="225"/>
      <x:c r="Q14" s="234"/>
      <x:c r="R14" s="231"/>
      <x:c r="S14" s="225"/>
      <x:c r="T14" s="225"/>
      <x:c r="U14" s="228" t="str">
        <x:f>IF(B14="","",IFERROR(T14/S14,0))</x:f>
      </x:c>
      <x:c r="V14" s="212"/>
      <x:c r="W14" s="212"/>
      <x:c r="X14" s="212"/>
      <x:c r="Y14" s="212"/>
      <x:c r="Z14" s="212"/>
      <x:c r="AA14" s="212"/>
      <x:c r="AB14" s="212"/>
      <x:c r="AC14" s="212"/>
      <x:c r="AD14" s="237"/>
    </x:row>
    <x:row r="15" ht="28" customHeight="1">
      <x:c r="A15" s="222"/>
      <x:c r="B15" s="212"/>
      <x:c r="C15" s="212"/>
      <x:c r="D15" s="225"/>
      <x:c r="E15" s="225"/>
      <x:c r="F15" s="225"/>
      <x:c r="G15" s="225"/>
      <x:c r="H15" s="228" t="str">
        <x:f>IF(B15="","",IFERROR(F15/G15,0))</x:f>
      </x:c>
      <x:c r="I15" s="228" t="str">
        <x:f>IF(B15="","",IFERROR(D15/E15-1,0))</x:f>
      </x:c>
      <x:c r="J15" s="225"/>
      <x:c r="K15" s="228" t="str">
        <x:f>IF(B15="","",IFERROR(J15/D15,0))</x:f>
      </x:c>
      <x:c r="L15" s="212"/>
      <x:c r="M15" s="212"/>
      <x:c r="N15" s="212"/>
      <x:c r="O15" s="231"/>
      <x:c r="P15" s="225"/>
      <x:c r="Q15" s="234"/>
      <x:c r="R15" s="231"/>
      <x:c r="S15" s="225"/>
      <x:c r="T15" s="225"/>
      <x:c r="U15" s="228" t="str">
        <x:f>IF(B15="","",IFERROR(T15/S15,0))</x:f>
      </x:c>
      <x:c r="V15" s="212"/>
      <x:c r="W15" s="212"/>
      <x:c r="X15" s="212"/>
      <x:c r="Y15" s="212"/>
      <x:c r="Z15" s="212"/>
      <x:c r="AA15" s="212"/>
      <x:c r="AB15" s="212"/>
      <x:c r="AC15" s="212"/>
      <x:c r="AD15" s="237"/>
    </x:row>
    <x:row r="16" ht="28" customHeight="1">
      <x:c r="A16" s="222"/>
      <x:c r="B16" s="212"/>
      <x:c r="C16" s="212"/>
      <x:c r="D16" s="225"/>
      <x:c r="E16" s="225"/>
      <x:c r="F16" s="225"/>
      <x:c r="G16" s="225"/>
      <x:c r="H16" s="228" t="str">
        <x:f>IF(B16="","",IFERROR(F16/G16,0))</x:f>
      </x:c>
      <x:c r="I16" s="228" t="str">
        <x:f>IF(B16="","",IFERROR(D16/E16-1,0))</x:f>
      </x:c>
      <x:c r="J16" s="225"/>
      <x:c r="K16" s="228" t="str">
        <x:f>IF(B16="","",IFERROR(J16/D16,0))</x:f>
      </x:c>
      <x:c r="L16" s="212"/>
      <x:c r="M16" s="212"/>
      <x:c r="N16" s="212"/>
      <x:c r="O16" s="231"/>
      <x:c r="P16" s="225"/>
      <x:c r="Q16" s="234"/>
      <x:c r="R16" s="231"/>
      <x:c r="S16" s="225"/>
      <x:c r="T16" s="225"/>
      <x:c r="U16" s="228" t="str">
        <x:f>IF(B16="","",IFERROR(T16/S16,0))</x:f>
      </x:c>
      <x:c r="V16" s="212"/>
      <x:c r="W16" s="212"/>
      <x:c r="X16" s="212"/>
      <x:c r="Y16" s="212"/>
      <x:c r="Z16" s="212"/>
      <x:c r="AA16" s="212"/>
      <x:c r="AB16" s="212"/>
      <x:c r="AC16" s="212"/>
      <x:c r="AD16" s="237"/>
    </x:row>
    <x:row r="17" ht="28" customHeight="1">
      <x:c r="A17" s="222"/>
      <x:c r="B17" s="212"/>
      <x:c r="C17" s="212"/>
      <x:c r="D17" s="225"/>
      <x:c r="E17" s="225"/>
      <x:c r="F17" s="225"/>
      <x:c r="G17" s="225"/>
      <x:c r="H17" s="228" t="str">
        <x:f>IF(B17="","",IFERROR(F17/G17,0))</x:f>
      </x:c>
      <x:c r="I17" s="228" t="str">
        <x:f>IF(B17="","",IFERROR(D17/E17-1,0))</x:f>
      </x:c>
      <x:c r="J17" s="225"/>
      <x:c r="K17" s="228" t="str">
        <x:f>IF(B17="","",IFERROR(J17/D17,0))</x:f>
      </x:c>
      <x:c r="L17" s="212"/>
      <x:c r="M17" s="212"/>
      <x:c r="N17" s="212"/>
      <x:c r="O17" s="231"/>
      <x:c r="P17" s="225"/>
      <x:c r="Q17" s="234"/>
      <x:c r="R17" s="231"/>
      <x:c r="S17" s="225"/>
      <x:c r="T17" s="225"/>
      <x:c r="U17" s="228" t="str">
        <x:f>IF(B17="","",IFERROR(T17/S17,0))</x:f>
      </x:c>
      <x:c r="V17" s="212"/>
      <x:c r="W17" s="212"/>
      <x:c r="X17" s="212"/>
      <x:c r="Y17" s="212"/>
      <x:c r="Z17" s="212"/>
      <x:c r="AA17" s="212"/>
      <x:c r="AB17" s="212"/>
      <x:c r="AC17" s="212"/>
      <x:c r="AD17" s="237"/>
    </x:row>
    <x:row r="18" ht="28" customHeight="1">
      <x:c r="A18" s="222"/>
      <x:c r="B18" s="212"/>
      <x:c r="C18" s="212"/>
      <x:c r="D18" s="225"/>
      <x:c r="E18" s="225"/>
      <x:c r="F18" s="225"/>
      <x:c r="G18" s="225"/>
      <x:c r="H18" s="228" t="str">
        <x:f>IF(B18="","",IFERROR(F18/G18,0))</x:f>
      </x:c>
      <x:c r="I18" s="228" t="str">
        <x:f>IF(B18="","",IFERROR(D18/E18-1,0))</x:f>
      </x:c>
      <x:c r="J18" s="225"/>
      <x:c r="K18" s="228" t="str">
        <x:f>IF(B18="","",IFERROR(J18/D18,0))</x:f>
      </x:c>
      <x:c r="L18" s="212"/>
      <x:c r="M18" s="212"/>
      <x:c r="N18" s="212"/>
      <x:c r="O18" s="231"/>
      <x:c r="P18" s="225"/>
      <x:c r="Q18" s="234"/>
      <x:c r="R18" s="231"/>
      <x:c r="S18" s="225"/>
      <x:c r="T18" s="225"/>
      <x:c r="U18" s="228" t="str">
        <x:f>IF(B18="","",IFERROR(T18/S18,0))</x:f>
      </x:c>
      <x:c r="V18" s="212"/>
      <x:c r="W18" s="212"/>
      <x:c r="X18" s="212"/>
      <x:c r="Y18" s="212"/>
      <x:c r="Z18" s="212"/>
      <x:c r="AA18" s="212"/>
      <x:c r="AB18" s="212"/>
      <x:c r="AC18" s="212"/>
      <x:c r="AD18" s="237"/>
    </x:row>
    <x:row r="19" ht="28" customHeight="1">
      <x:c r="A19" s="222"/>
      <x:c r="B19" s="212"/>
      <x:c r="C19" s="212"/>
      <x:c r="D19" s="225"/>
      <x:c r="E19" s="225"/>
      <x:c r="F19" s="225"/>
      <x:c r="G19" s="225"/>
      <x:c r="H19" s="228" t="str">
        <x:f>IF(B19="","",IFERROR(F19/G19,0))</x:f>
      </x:c>
      <x:c r="I19" s="228" t="str">
        <x:f>IF(B19="","",IFERROR(D19/E19-1,0))</x:f>
      </x:c>
      <x:c r="J19" s="225"/>
      <x:c r="K19" s="228" t="str">
        <x:f>IF(B19="","",IFERROR(J19/D19,0))</x:f>
      </x:c>
      <x:c r="L19" s="212"/>
      <x:c r="M19" s="212"/>
      <x:c r="N19" s="212"/>
      <x:c r="O19" s="231"/>
      <x:c r="P19" s="225"/>
      <x:c r="Q19" s="234"/>
      <x:c r="R19" s="231"/>
      <x:c r="S19" s="225"/>
      <x:c r="T19" s="225"/>
      <x:c r="U19" s="228" t="str">
        <x:f>IF(B19="","",IFERROR(T19/S19,0))</x:f>
      </x:c>
      <x:c r="V19" s="212"/>
      <x:c r="W19" s="212"/>
      <x:c r="X19" s="212"/>
      <x:c r="Y19" s="212"/>
      <x:c r="Z19" s="212"/>
      <x:c r="AA19" s="212"/>
      <x:c r="AB19" s="212"/>
      <x:c r="AC19" s="212"/>
      <x:c r="AD19" s="237"/>
    </x:row>
    <x:row r="20" ht="28" customHeight="1">
      <x:c r="A20" s="222"/>
      <x:c r="B20" s="212"/>
      <x:c r="C20" s="212"/>
      <x:c r="D20" s="225"/>
      <x:c r="E20" s="225"/>
      <x:c r="F20" s="225"/>
      <x:c r="G20" s="225"/>
      <x:c r="H20" s="228" t="str">
        <x:f>IF(B20="","",IFERROR(F20/G20,0))</x:f>
      </x:c>
      <x:c r="I20" s="228" t="str">
        <x:f>IF(B20="","",IFERROR(D20/E20-1,0))</x:f>
      </x:c>
      <x:c r="J20" s="225"/>
      <x:c r="K20" s="228" t="str">
        <x:f>IF(B20="","",IFERROR(J20/D20,0))</x:f>
      </x:c>
      <x:c r="L20" s="212"/>
      <x:c r="M20" s="212"/>
      <x:c r="N20" s="212"/>
      <x:c r="O20" s="231"/>
      <x:c r="P20" s="225"/>
      <x:c r="Q20" s="234"/>
      <x:c r="R20" s="231"/>
      <x:c r="S20" s="225"/>
      <x:c r="T20" s="225"/>
      <x:c r="U20" s="228" t="str">
        <x:f>IF(B20="","",IFERROR(T20/S20,0))</x:f>
      </x:c>
      <x:c r="V20" s="212"/>
      <x:c r="W20" s="212"/>
      <x:c r="X20" s="212"/>
      <x:c r="Y20" s="212"/>
      <x:c r="Z20" s="212"/>
      <x:c r="AA20" s="212"/>
      <x:c r="AB20" s="212"/>
      <x:c r="AC20" s="212"/>
      <x:c r="AD20" s="237"/>
    </x:row>
    <x:row r="21" ht="28" customHeight="1">
      <x:c r="A21" s="222"/>
      <x:c r="B21" s="212"/>
      <x:c r="C21" s="212"/>
      <x:c r="D21" s="225"/>
      <x:c r="E21" s="225"/>
      <x:c r="F21" s="225"/>
      <x:c r="G21" s="225"/>
      <x:c r="H21" s="228" t="str">
        <x:f>IF(B21="","",IFERROR(F21/G21,0))</x:f>
      </x:c>
      <x:c r="I21" s="228" t="str">
        <x:f>IF(B21="","",IFERROR(D21/E21-1,0))</x:f>
      </x:c>
      <x:c r="J21" s="225"/>
      <x:c r="K21" s="228" t="str">
        <x:f>IF(B21="","",IFERROR(J21/D21,0))</x:f>
      </x:c>
      <x:c r="L21" s="212"/>
      <x:c r="M21" s="212"/>
      <x:c r="N21" s="212"/>
      <x:c r="O21" s="231"/>
      <x:c r="P21" s="225"/>
      <x:c r="Q21" s="234"/>
      <x:c r="R21" s="231"/>
      <x:c r="S21" s="225"/>
      <x:c r="T21" s="225"/>
      <x:c r="U21" s="228" t="str">
        <x:f>IF(B21="","",IFERROR(T21/S21,0))</x:f>
      </x:c>
      <x:c r="V21" s="212"/>
      <x:c r="W21" s="212"/>
      <x:c r="X21" s="212"/>
      <x:c r="Y21" s="212"/>
      <x:c r="Z21" s="212"/>
      <x:c r="AA21" s="212"/>
      <x:c r="AB21" s="212"/>
      <x:c r="AC21" s="212"/>
      <x:c r="AD21" s="237"/>
    </x:row>
    <x:row r="22" ht="28" customHeight="1">
      <x:c r="A22" s="222"/>
      <x:c r="B22" s="212"/>
      <x:c r="C22" s="212"/>
      <x:c r="D22" s="225"/>
      <x:c r="E22" s="225"/>
      <x:c r="F22" s="225"/>
      <x:c r="G22" s="225"/>
      <x:c r="H22" s="228" t="str">
        <x:f>IF(B22="","",IFERROR(F22/G22,0))</x:f>
      </x:c>
      <x:c r="I22" s="228" t="str">
        <x:f>IF(B22="","",IFERROR(D22/E22-1,0))</x:f>
      </x:c>
      <x:c r="J22" s="225"/>
      <x:c r="K22" s="228" t="str">
        <x:f>IF(B22="","",IFERROR(J22/D22,0))</x:f>
      </x:c>
      <x:c r="L22" s="212"/>
      <x:c r="M22" s="212"/>
      <x:c r="N22" s="212"/>
      <x:c r="O22" s="231"/>
      <x:c r="P22" s="225"/>
      <x:c r="Q22" s="234"/>
      <x:c r="R22" s="231"/>
      <x:c r="S22" s="225"/>
      <x:c r="T22" s="225"/>
      <x:c r="U22" s="228" t="str">
        <x:f>IF(B22="","",IFERROR(T22/S22,0))</x:f>
      </x:c>
      <x:c r="V22" s="212"/>
      <x:c r="W22" s="212"/>
      <x:c r="X22" s="212"/>
      <x:c r="Y22" s="212"/>
      <x:c r="Z22" s="212"/>
      <x:c r="AA22" s="212"/>
      <x:c r="AB22" s="212"/>
      <x:c r="AC22" s="212"/>
      <x:c r="AD22" s="237"/>
    </x:row>
    <x:row r="23" ht="28" customHeight="1">
      <x:c r="A23" s="222"/>
      <x:c r="B23" s="212"/>
      <x:c r="C23" s="212"/>
      <x:c r="D23" s="225"/>
      <x:c r="E23" s="225"/>
      <x:c r="F23" s="225"/>
      <x:c r="G23" s="225"/>
      <x:c r="H23" s="228" t="str">
        <x:f>IF(B23="","",IFERROR(F23/G23,0))</x:f>
      </x:c>
      <x:c r="I23" s="228" t="str">
        <x:f>IF(B23="","",IFERROR(D23/E23-1,0))</x:f>
      </x:c>
      <x:c r="J23" s="225"/>
      <x:c r="K23" s="228" t="str">
        <x:f>IF(B23="","",IFERROR(J23/D23,0))</x:f>
      </x:c>
      <x:c r="L23" s="212"/>
      <x:c r="M23" s="212"/>
      <x:c r="N23" s="212"/>
      <x:c r="O23" s="231"/>
      <x:c r="P23" s="225"/>
      <x:c r="Q23" s="234"/>
      <x:c r="R23" s="231"/>
      <x:c r="S23" s="225"/>
      <x:c r="T23" s="225"/>
      <x:c r="U23" s="228" t="str">
        <x:f>IF(B23="","",IFERROR(T23/S23,0))</x:f>
      </x:c>
      <x:c r="V23" s="212"/>
      <x:c r="W23" s="212"/>
      <x:c r="X23" s="212"/>
      <x:c r="Y23" s="212"/>
      <x:c r="Z23" s="212"/>
      <x:c r="AA23" s="212"/>
      <x:c r="AB23" s="212"/>
      <x:c r="AC23" s="212"/>
      <x:c r="AD23" s="237"/>
    </x:row>
    <x:row r="24" ht="28" customHeight="1">
      <x:c r="A24" s="222"/>
      <x:c r="B24" s="212"/>
      <x:c r="C24" s="212"/>
      <x:c r="D24" s="225"/>
      <x:c r="E24" s="225"/>
      <x:c r="F24" s="225"/>
      <x:c r="G24" s="225"/>
      <x:c r="H24" s="228" t="str">
        <x:f>IF(B24="","",IFERROR(F24/G24,0))</x:f>
      </x:c>
      <x:c r="I24" s="228" t="str">
        <x:f>IF(B24="","",IFERROR(D24/E24-1,0))</x:f>
      </x:c>
      <x:c r="J24" s="225"/>
      <x:c r="K24" s="228" t="str">
        <x:f>IF(B24="","",IFERROR(J24/D24,0))</x:f>
      </x:c>
      <x:c r="L24" s="212"/>
      <x:c r="M24" s="212"/>
      <x:c r="N24" s="212"/>
      <x:c r="O24" s="231"/>
      <x:c r="P24" s="225"/>
      <x:c r="Q24" s="234"/>
      <x:c r="R24" s="231"/>
      <x:c r="S24" s="225"/>
      <x:c r="T24" s="225"/>
      <x:c r="U24" s="228" t="str">
        <x:f>IF(B24="","",IFERROR(T24/S24,0))</x:f>
      </x:c>
      <x:c r="V24" s="212"/>
      <x:c r="W24" s="212"/>
      <x:c r="X24" s="212"/>
      <x:c r="Y24" s="212"/>
      <x:c r="Z24" s="212"/>
      <x:c r="AA24" s="212"/>
      <x:c r="AB24" s="212"/>
      <x:c r="AC24" s="212"/>
      <x:c r="AD24" s="237"/>
    </x:row>
    <x:row r="25" ht="28" customHeight="1">
      <x:c r="A25" s="222"/>
      <x:c r="B25" s="212"/>
      <x:c r="C25" s="212"/>
      <x:c r="D25" s="225"/>
      <x:c r="E25" s="225"/>
      <x:c r="F25" s="225"/>
      <x:c r="G25" s="225"/>
      <x:c r="H25" s="228" t="str">
        <x:f>IF(B25="","",IFERROR(F25/G25,0))</x:f>
      </x:c>
      <x:c r="I25" s="228" t="str">
        <x:f>IF(B25="","",IFERROR(D25/E25-1,0))</x:f>
      </x:c>
      <x:c r="J25" s="225"/>
      <x:c r="K25" s="228" t="str">
        <x:f>IF(B25="","",IFERROR(J25/D25,0))</x:f>
      </x:c>
      <x:c r="L25" s="212"/>
      <x:c r="M25" s="212"/>
      <x:c r="N25" s="212"/>
      <x:c r="O25" s="231"/>
      <x:c r="P25" s="225"/>
      <x:c r="Q25" s="234"/>
      <x:c r="R25" s="231"/>
      <x:c r="S25" s="225"/>
      <x:c r="T25" s="225"/>
      <x:c r="U25" s="228" t="str">
        <x:f>IF(B25="","",IFERROR(T25/S25,0))</x:f>
      </x:c>
      <x:c r="V25" s="212"/>
      <x:c r="W25" s="212"/>
      <x:c r="X25" s="212"/>
      <x:c r="Y25" s="212"/>
      <x:c r="Z25" s="212"/>
      <x:c r="AA25" s="212"/>
      <x:c r="AB25" s="212"/>
      <x:c r="AC25" s="212"/>
      <x:c r="AD25" s="237"/>
    </x:row>
    <x:row r="26" ht="28" customHeight="1">
      <x:c r="A26" s="222"/>
      <x:c r="B26" s="212"/>
      <x:c r="C26" s="212"/>
      <x:c r="D26" s="225"/>
      <x:c r="E26" s="225"/>
      <x:c r="F26" s="225"/>
      <x:c r="G26" s="225"/>
      <x:c r="H26" s="228" t="str">
        <x:f>IF(B26="","",IFERROR(F26/G26,0))</x:f>
      </x:c>
      <x:c r="I26" s="228" t="str">
        <x:f>IF(B26="","",IFERROR(D26/E26-1,0))</x:f>
      </x:c>
      <x:c r="J26" s="225"/>
      <x:c r="K26" s="228" t="str">
        <x:f>IF(B26="","",IFERROR(J26/D26,0))</x:f>
      </x:c>
      <x:c r="L26" s="212"/>
      <x:c r="M26" s="212"/>
      <x:c r="N26" s="212"/>
      <x:c r="O26" s="231"/>
      <x:c r="P26" s="225"/>
      <x:c r="Q26" s="234"/>
      <x:c r="R26" s="231"/>
      <x:c r="S26" s="225"/>
      <x:c r="T26" s="225"/>
      <x:c r="U26" s="228" t="str">
        <x:f>IF(B26="","",IFERROR(T26/S26,0))</x:f>
      </x:c>
      <x:c r="V26" s="212"/>
      <x:c r="W26" s="212"/>
      <x:c r="X26" s="212"/>
      <x:c r="Y26" s="212"/>
      <x:c r="Z26" s="212"/>
      <x:c r="AA26" s="212"/>
      <x:c r="AB26" s="212"/>
      <x:c r="AC26" s="212"/>
      <x:c r="AD26" s="237"/>
    </x:row>
    <x:row r="27" ht="28" customHeight="1">
      <x:c r="A27" s="222"/>
      <x:c r="B27" s="212"/>
      <x:c r="C27" s="212"/>
      <x:c r="D27" s="225"/>
      <x:c r="E27" s="225"/>
      <x:c r="F27" s="225"/>
      <x:c r="G27" s="225"/>
      <x:c r="H27" s="228" t="str">
        <x:f>IF(B27="","",IFERROR(F27/G27,0))</x:f>
      </x:c>
      <x:c r="I27" s="228" t="str">
        <x:f>IF(B27="","",IFERROR(D27/E27-1,0))</x:f>
      </x:c>
      <x:c r="J27" s="225"/>
      <x:c r="K27" s="228" t="str">
        <x:f>IF(B27="","",IFERROR(J27/D27,0))</x:f>
      </x:c>
      <x:c r="L27" s="212"/>
      <x:c r="M27" s="212"/>
      <x:c r="N27" s="212"/>
      <x:c r="O27" s="231"/>
      <x:c r="P27" s="225"/>
      <x:c r="Q27" s="234"/>
      <x:c r="R27" s="231"/>
      <x:c r="S27" s="225"/>
      <x:c r="T27" s="225"/>
      <x:c r="U27" s="228" t="str">
        <x:f>IF(B27="","",IFERROR(T27/S27,0))</x:f>
      </x:c>
      <x:c r="V27" s="212"/>
      <x:c r="W27" s="212"/>
      <x:c r="X27" s="212"/>
      <x:c r="Y27" s="212"/>
      <x:c r="Z27" s="212"/>
      <x:c r="AA27" s="212"/>
      <x:c r="AB27" s="212"/>
      <x:c r="AC27" s="212"/>
      <x:c r="AD27" s="237"/>
    </x:row>
    <x:row r="28" ht="28" customHeight="1">
      <x:c r="A28" s="222"/>
      <x:c r="B28" s="212"/>
      <x:c r="C28" s="212"/>
      <x:c r="D28" s="225"/>
      <x:c r="E28" s="225"/>
      <x:c r="F28" s="225"/>
      <x:c r="G28" s="225"/>
      <x:c r="H28" s="228" t="str">
        <x:f>IF(B28="","",IFERROR(F28/G28,0))</x:f>
      </x:c>
      <x:c r="I28" s="228" t="str">
        <x:f>IF(B28="","",IFERROR(D28/E28-1,0))</x:f>
      </x:c>
      <x:c r="J28" s="225"/>
      <x:c r="K28" s="228" t="str">
        <x:f>IF(B28="","",IFERROR(J28/D28,0))</x:f>
      </x:c>
      <x:c r="L28" s="212"/>
      <x:c r="M28" s="212"/>
      <x:c r="N28" s="212"/>
      <x:c r="O28" s="231"/>
      <x:c r="P28" s="225"/>
      <x:c r="Q28" s="234"/>
      <x:c r="R28" s="231"/>
      <x:c r="S28" s="225"/>
      <x:c r="T28" s="225"/>
      <x:c r="U28" s="228" t="str">
        <x:f>IF(B28="","",IFERROR(T28/S28,0))</x:f>
      </x:c>
      <x:c r="V28" s="212"/>
      <x:c r="W28" s="212"/>
      <x:c r="X28" s="212"/>
      <x:c r="Y28" s="212"/>
      <x:c r="Z28" s="212"/>
      <x:c r="AA28" s="212"/>
      <x:c r="AB28" s="212"/>
      <x:c r="AC28" s="212"/>
      <x:c r="AD28" s="237"/>
    </x:row>
    <x:row r="29" ht="28" customHeight="1">
      <x:c r="A29" s="222"/>
      <x:c r="B29" s="212"/>
      <x:c r="C29" s="212"/>
      <x:c r="D29" s="225"/>
      <x:c r="E29" s="225"/>
      <x:c r="F29" s="225"/>
      <x:c r="G29" s="225"/>
      <x:c r="H29" s="228" t="str">
        <x:f>IF(B29="","",IFERROR(F29/G29,0))</x:f>
      </x:c>
      <x:c r="I29" s="228" t="str">
        <x:f>IF(B29="","",IFERROR(D29/E29-1,0))</x:f>
      </x:c>
      <x:c r="J29" s="225"/>
      <x:c r="K29" s="228" t="str">
        <x:f>IF(B29="","",IFERROR(J29/D29,0))</x:f>
      </x:c>
      <x:c r="L29" s="212"/>
      <x:c r="M29" s="212"/>
      <x:c r="N29" s="212"/>
      <x:c r="O29" s="231"/>
      <x:c r="P29" s="225"/>
      <x:c r="Q29" s="234"/>
      <x:c r="R29" s="231"/>
      <x:c r="S29" s="225"/>
      <x:c r="T29" s="225"/>
      <x:c r="U29" s="228" t="str">
        <x:f>IF(B29="","",IFERROR(T29/S29,0))</x:f>
      </x:c>
      <x:c r="V29" s="212"/>
      <x:c r="W29" s="212"/>
      <x:c r="X29" s="212"/>
      <x:c r="Y29" s="212"/>
      <x:c r="Z29" s="212"/>
      <x:c r="AA29" s="212"/>
      <x:c r="AB29" s="212"/>
      <x:c r="AC29" s="212"/>
      <x:c r="AD29" s="237"/>
    </x:row>
    <x:row r="30" ht="28" customHeight="1">
      <x:c r="A30" s="222"/>
      <x:c r="B30" s="212"/>
      <x:c r="C30" s="212"/>
      <x:c r="D30" s="225"/>
      <x:c r="E30" s="225"/>
      <x:c r="F30" s="225"/>
      <x:c r="G30" s="225"/>
      <x:c r="H30" s="228" t="str">
        <x:f>IF(B30="","",IFERROR(F30/G30,0))</x:f>
      </x:c>
      <x:c r="I30" s="228" t="str">
        <x:f>IF(B30="","",IFERROR(D30/E30-1,0))</x:f>
      </x:c>
      <x:c r="J30" s="225"/>
      <x:c r="K30" s="228" t="str">
        <x:f>IF(B30="","",IFERROR(J30/D30,0))</x:f>
      </x:c>
      <x:c r="L30" s="212"/>
      <x:c r="M30" s="212"/>
      <x:c r="N30" s="212"/>
      <x:c r="O30" s="231"/>
      <x:c r="P30" s="225"/>
      <x:c r="Q30" s="234"/>
      <x:c r="R30" s="231"/>
      <x:c r="S30" s="225"/>
      <x:c r="T30" s="225"/>
      <x:c r="U30" s="228" t="str">
        <x:f>IF(B30="","",IFERROR(T30/S30,0))</x:f>
      </x:c>
      <x:c r="V30" s="212"/>
      <x:c r="W30" s="212"/>
      <x:c r="X30" s="212"/>
      <x:c r="Y30" s="212"/>
      <x:c r="Z30" s="212"/>
      <x:c r="AA30" s="212"/>
      <x:c r="AB30" s="212"/>
      <x:c r="AC30" s="212"/>
      <x:c r="AD30" s="237"/>
    </x:row>
    <x:row r="31" ht="28" customHeight="1">
      <x:c r="A31" s="222"/>
      <x:c r="B31" s="212"/>
      <x:c r="C31" s="212"/>
      <x:c r="D31" s="225"/>
      <x:c r="E31" s="225"/>
      <x:c r="F31" s="225"/>
      <x:c r="G31" s="225"/>
      <x:c r="H31" s="228" t="str">
        <x:f>IF(B31="","",IFERROR(F31/G31,0))</x:f>
      </x:c>
      <x:c r="I31" s="228" t="str">
        <x:f>IF(B31="","",IFERROR(D31/E31-1,0))</x:f>
      </x:c>
      <x:c r="J31" s="225"/>
      <x:c r="K31" s="228" t="str">
        <x:f>IF(B31="","",IFERROR(J31/D31,0))</x:f>
      </x:c>
      <x:c r="L31" s="212"/>
      <x:c r="M31" s="212"/>
      <x:c r="N31" s="212"/>
      <x:c r="O31" s="231"/>
      <x:c r="P31" s="225"/>
      <x:c r="Q31" s="234"/>
      <x:c r="R31" s="231"/>
      <x:c r="S31" s="225"/>
      <x:c r="T31" s="225"/>
      <x:c r="U31" s="228" t="str">
        <x:f>IF(B31="","",IFERROR(T31/S31,0))</x:f>
      </x:c>
      <x:c r="V31" s="212"/>
      <x:c r="W31" s="212"/>
      <x:c r="X31" s="212"/>
      <x:c r="Y31" s="212"/>
      <x:c r="Z31" s="212"/>
      <x:c r="AA31" s="212"/>
      <x:c r="AB31" s="212"/>
      <x:c r="AC31" s="212"/>
      <x:c r="AD31" s="237"/>
    </x:row>
    <x:row r="32" ht="28" customHeight="1">
      <x:c r="A32" s="222"/>
      <x:c r="B32" s="212"/>
      <x:c r="C32" s="212"/>
      <x:c r="D32" s="225"/>
      <x:c r="E32" s="225"/>
      <x:c r="F32" s="225"/>
      <x:c r="G32" s="225"/>
      <x:c r="H32" s="228" t="str">
        <x:f>IF(B32="","",IFERROR(F32/G32,0))</x:f>
      </x:c>
      <x:c r="I32" s="228" t="str">
        <x:f>IF(B32="","",IFERROR(D32/E32-1,0))</x:f>
      </x:c>
      <x:c r="J32" s="225"/>
      <x:c r="K32" s="228" t="str">
        <x:f>IF(B32="","",IFERROR(J32/D32,0))</x:f>
      </x:c>
      <x:c r="L32" s="212"/>
      <x:c r="M32" s="212"/>
      <x:c r="N32" s="212"/>
      <x:c r="O32" s="231"/>
      <x:c r="P32" s="225"/>
      <x:c r="Q32" s="234"/>
      <x:c r="R32" s="231"/>
      <x:c r="S32" s="225"/>
      <x:c r="T32" s="225"/>
      <x:c r="U32" s="228" t="str">
        <x:f>IF(B32="","",IFERROR(T32/S32,0))</x:f>
      </x:c>
      <x:c r="V32" s="212"/>
      <x:c r="W32" s="212"/>
      <x:c r="X32" s="212"/>
      <x:c r="Y32" s="212"/>
      <x:c r="Z32" s="212"/>
      <x:c r="AA32" s="212"/>
      <x:c r="AB32" s="212"/>
      <x:c r="AC32" s="212"/>
      <x:c r="AD32" s="237"/>
    </x:row>
    <x:row r="33" ht="28" customHeight="1">
      <x:c r="A33" s="222"/>
      <x:c r="B33" s="212"/>
      <x:c r="C33" s="212"/>
      <x:c r="D33" s="225"/>
      <x:c r="E33" s="225"/>
      <x:c r="F33" s="225"/>
      <x:c r="G33" s="225"/>
      <x:c r="H33" s="228" t="str">
        <x:f>IF(B33="","",IFERROR(F33/G33,0))</x:f>
      </x:c>
      <x:c r="I33" s="228" t="str">
        <x:f>IF(B33="","",IFERROR(D33/E33-1,0))</x:f>
      </x:c>
      <x:c r="J33" s="225"/>
      <x:c r="K33" s="228" t="str">
        <x:f>IF(B33="","",IFERROR(J33/D33,0))</x:f>
      </x:c>
      <x:c r="L33" s="212"/>
      <x:c r="M33" s="212"/>
      <x:c r="N33" s="212"/>
      <x:c r="O33" s="231"/>
      <x:c r="P33" s="225"/>
      <x:c r="Q33" s="234"/>
      <x:c r="R33" s="231"/>
      <x:c r="S33" s="225"/>
      <x:c r="T33" s="225"/>
      <x:c r="U33" s="228" t="str">
        <x:f>IF(B33="","",IFERROR(T33/S33,0))</x:f>
      </x:c>
      <x:c r="V33" s="212"/>
      <x:c r="W33" s="212"/>
      <x:c r="X33" s="212"/>
      <x:c r="Y33" s="212"/>
      <x:c r="Z33" s="212"/>
      <x:c r="AA33" s="212"/>
      <x:c r="AB33" s="212"/>
      <x:c r="AC33" s="212"/>
      <x:c r="AD33" s="237"/>
    </x:row>
    <x:row r="34" ht="28" customHeight="1">
      <x:c r="A34" s="222"/>
      <x:c r="B34" s="212"/>
      <x:c r="C34" s="212"/>
      <x:c r="D34" s="225"/>
      <x:c r="E34" s="225"/>
      <x:c r="F34" s="225"/>
      <x:c r="G34" s="225"/>
      <x:c r="H34" s="228" t="str">
        <x:f>IF(B34="","",IFERROR(F34/G34,0))</x:f>
      </x:c>
      <x:c r="I34" s="228" t="str">
        <x:f>IF(B34="","",IFERROR(D34/E34-1,0))</x:f>
      </x:c>
      <x:c r="J34" s="225"/>
      <x:c r="K34" s="228" t="str">
        <x:f>IF(B34="","",IFERROR(J34/D34,0))</x:f>
      </x:c>
      <x:c r="L34" s="212"/>
      <x:c r="M34" s="212"/>
      <x:c r="N34" s="212"/>
      <x:c r="O34" s="231"/>
      <x:c r="P34" s="225"/>
      <x:c r="Q34" s="234"/>
      <x:c r="R34" s="231"/>
      <x:c r="S34" s="225"/>
      <x:c r="T34" s="225"/>
      <x:c r="U34" s="228" t="str">
        <x:f>IF(B34="","",IFERROR(T34/S34,0))</x:f>
      </x:c>
      <x:c r="V34" s="212"/>
      <x:c r="W34" s="212"/>
      <x:c r="X34" s="212"/>
      <x:c r="Y34" s="212"/>
      <x:c r="Z34" s="212"/>
      <x:c r="AA34" s="212"/>
      <x:c r="AB34" s="212"/>
      <x:c r="AC34" s="212"/>
      <x:c r="AD34" s="237"/>
    </x:row>
    <x:row r="35" ht="28" customHeight="1">
      <x:c r="A35" s="223"/>
      <x:c r="B35" s="214"/>
      <x:c r="C35" s="214"/>
      <x:c r="D35" s="226"/>
      <x:c r="E35" s="226"/>
      <x:c r="F35" s="226"/>
      <x:c r="G35" s="226"/>
      <x:c r="H35" s="229" t="str">
        <x:f>IF(B35="","",IFERROR(F35/G35,0))</x:f>
      </x:c>
      <x:c r="I35" s="229" t="str">
        <x:f>IF(B35="","",IFERROR(D35/E35-1,0))</x:f>
      </x:c>
      <x:c r="J35" s="226"/>
      <x:c r="K35" s="229" t="str">
        <x:f>IF(B35="","",IFERROR(J35/D35,0))</x:f>
      </x:c>
      <x:c r="L35" s="214"/>
      <x:c r="M35" s="214"/>
      <x:c r="N35" s="214"/>
      <x:c r="O35" s="232"/>
      <x:c r="P35" s="226"/>
      <x:c r="Q35" s="235"/>
      <x:c r="R35" s="232"/>
      <x:c r="S35" s="226"/>
      <x:c r="T35" s="226"/>
      <x:c r="U35" s="229" t="str">
        <x:f>IF(B35="","",IFERROR(T35/S35,0))</x:f>
      </x:c>
      <x:c r="V35" s="214"/>
      <x:c r="W35" s="214"/>
      <x:c r="X35" s="214"/>
      <x:c r="Y35" s="214"/>
      <x:c r="Z35" s="214"/>
      <x:c r="AA35" s="214"/>
      <x:c r="AB35" s="214"/>
      <x:c r="AC35" s="214"/>
      <x:c r="AD35" s="238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AD2"/>
    <x:mergeCell ref="A3:AD3"/>
  </x:mergeCells>
  <x:conditionalFormatting sqref="X6:X35">
    <x:cfRule type="containsText" dxfId="0" priority="1" operator="containsText" text="正常"/>
    <x:cfRule type="containsText" dxfId="1" priority="2" operator="containsText" text="已完成"/>
    <x:cfRule type="containsText" dxfId="2" priority="3" operator="containsText" text="关注"/>
    <x:cfRule type="containsText" dxfId="3" priority="4" operator="containsText" text="预警"/>
    <x:cfRule type="containsText" dxfId="4" priority="5" operator="containsText" text="逾期"/>
  </x:conditionalFormatting>
  <x:dataValidations count="2">
    <x:dataValidation type="list" sqref="B6:B35">
      <x:formula1>"APR门店,Apple电商,舒尔电商,3PP/渠道分销"</x:formula1>
    </x:dataValidation>
    <x:dataValidation type="list" sqref="X6:X35">
      <x:formula1>"正常,关注,预警"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2" hidden="0" customWidth="1"/>
    <x:col min="4" max="4" width="16" hidden="0" customWidth="1"/>
    <x:col min="5" max="5" width="16" hidden="0" customWidth="1"/>
    <x:col min="6" max="6" width="12" hidden="0" customWidth="1"/>
    <x:col min="7" max="7" width="16" hidden="0" customWidth="1"/>
    <x:col min="8" max="8" width="12" hidden="0" customWidth="1"/>
    <x:col min="9" max="9" width="10" hidden="0" customWidth="1"/>
    <x:col min="10" max="10" width="10" hidden="0" customWidth="1"/>
    <x:col min="11" max="11" width="12" hidden="0" customWidth="1"/>
    <x:col min="12" max="12" width="18" hidden="0" customWidth="1"/>
    <x:col min="13" max="13" width="12" hidden="0" customWidth="1"/>
    <x:col min="14" max="14" width="18" hidden="0" customWidth="1"/>
    <x:col min="15" max="15" width="18" hidden="0" customWidth="1"/>
    <x:col min="16" max="16" width="12" hidden="0" customWidth="1"/>
    <x:col min="17" max="17" width="28" hidden="0" customWidth="1"/>
    <x:col min="18" max="18" width="30" hidden="0" customWidth="1"/>
    <x:col min="19" max="19" width="15" hidden="0" customWidth="1"/>
    <x:col min="20" max="20" width="20" hidden="0" customWidth="1"/>
    <x:col min="21" max="21" width="15" hidden="0" customWidth="1"/>
    <x:col min="22" max="22" width="20" hidden="0" customWidth="1"/>
  </x:cols>
  <x:sheetData>
    <x:row r="1" ht="34" customHeight="1">
      <x:c r="A1" s="16" t="str">
        <x:v>APR门店经营明细
每店一行，用于门店排名、异常识别和经营下钻</x:v>
      </x:c>
      <x:c r="B1" s="17" t="str">
        <x:v>APR门店经营明细
每店一行，用于门店排名、异常识别和经营下钻</x:v>
      </x:c>
      <x:c r="C1" s="17" t="str">
        <x:v>APR门店经营明细
每店一行，用于门店排名、异常识别和经营下钻</x:v>
      </x:c>
      <x:c r="D1" s="17" t="str">
        <x:v>APR门店经营明细
每店一行，用于门店排名、异常识别和经营下钻</x:v>
      </x:c>
      <x:c r="E1" s="17" t="str">
        <x:v>APR门店经营明细
每店一行，用于门店排名、异常识别和经营下钻</x:v>
      </x:c>
      <x:c r="F1" s="17" t="str">
        <x:v>APR门店经营明细
每店一行，用于门店排名、异常识别和经营下钻</x:v>
      </x:c>
      <x:c r="G1" s="17" t="str">
        <x:v>APR门店经营明细
每店一行，用于门店排名、异常识别和经营下钻</x:v>
      </x:c>
      <x:c r="H1" s="17" t="str">
        <x:v>APR门店经营明细
每店一行，用于门店排名、异常识别和经营下钻</x:v>
      </x:c>
      <x:c r="I1" s="17" t="str">
        <x:v>APR门店经营明细
每店一行，用于门店排名、异常识别和经营下钻</x:v>
      </x:c>
      <x:c r="J1" s="17" t="str">
        <x:v>APR门店经营明细
每店一行，用于门店排名、异常识别和经营下钻</x:v>
      </x:c>
      <x:c r="K1" s="17" t="str">
        <x:v>APR门店经营明细
每店一行，用于门店排名、异常识别和经营下钻</x:v>
      </x:c>
      <x:c r="L1" s="17" t="str">
        <x:v>APR门店经营明细
每店一行，用于门店排名、异常识别和经营下钻</x:v>
      </x:c>
      <x:c r="M1" s="17" t="str">
        <x:v>APR门店经营明细
每店一行，用于门店排名、异常识别和经营下钻</x:v>
      </x:c>
      <x:c r="N1" s="17" t="str">
        <x:v>APR门店经营明细
每店一行，用于门店排名、异常识别和经营下钻</x:v>
      </x:c>
      <x:c r="O1" s="17" t="str">
        <x:v>APR门店经营明细
每店一行，用于门店排名、异常识别和经营下钻</x:v>
      </x:c>
      <x:c r="P1" s="17" t="str">
        <x:v>APR门店经营明细
每店一行，用于门店排名、异常识别和经营下钻</x:v>
      </x:c>
      <x:c r="Q1" s="17" t="str">
        <x:v>APR门店经营明细
每店一行，用于门店排名、异常识别和经营下钻</x:v>
      </x:c>
      <x:c r="R1" s="17" t="str">
        <x:v>APR门店经营明细
每店一行，用于门店排名、异常识别和经营下钻</x:v>
      </x:c>
      <x:c r="S1" s="17" t="str">
        <x:v>APR门店经营明细
每店一行，用于门店排名、异常识别和经营下钻</x:v>
      </x:c>
      <x:c r="T1" s="17" t="str">
        <x:v>APR门店经营明细
每店一行，用于门店排名、异常识别和经营下钻</x:v>
      </x:c>
      <x:c r="U1" s="17" t="str">
        <x:v>APR门店经营明细
每店一行，用于门店排名、异常识别和经营下钻</x:v>
      </x:c>
      <x:c r="V1" s="18" t="str">
        <x:v>APR门店经营明细
每店一行，用于门店排名、异常识别和经营下钻</x:v>
      </x:c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APR门店经营明细
每店一行，用于门店排名、异常识别和经营下钻</x:v>
      </x:c>
      <x:c r="B2" s="20" t="str">
        <x:v>APR门店经营明细
每店一行，用于门店排名、异常识别和经营下钻</x:v>
      </x:c>
      <x:c r="C2" s="20" t="str">
        <x:v>APR门店经营明细
每店一行，用于门店排名、异常识别和经营下钻</x:v>
      </x:c>
      <x:c r="D2" s="20" t="str">
        <x:v>APR门店经营明细
每店一行，用于门店排名、异常识别和经营下钻</x:v>
      </x:c>
      <x:c r="E2" s="20" t="str">
        <x:v>APR门店经营明细
每店一行，用于门店排名、异常识别和经营下钻</x:v>
      </x:c>
      <x:c r="F2" s="20" t="str">
        <x:v>APR门店经营明细
每店一行，用于门店排名、异常识别和经营下钻</x:v>
      </x:c>
      <x:c r="G2" s="20" t="str">
        <x:v>APR门店经营明细
每店一行，用于门店排名、异常识别和经营下钻</x:v>
      </x:c>
      <x:c r="H2" s="20" t="str">
        <x:v>APR门店经营明细
每店一行，用于门店排名、异常识别和经营下钻</x:v>
      </x:c>
      <x:c r="I2" s="20" t="str">
        <x:v>APR门店经营明细
每店一行，用于门店排名、异常识别和经营下钻</x:v>
      </x:c>
      <x:c r="J2" s="20" t="str">
        <x:v>APR门店经营明细
每店一行，用于门店排名、异常识别和经营下钻</x:v>
      </x:c>
      <x:c r="K2" s="20" t="str">
        <x:v>APR门店经营明细
每店一行，用于门店排名、异常识别和经营下钻</x:v>
      </x:c>
      <x:c r="L2" s="20" t="str">
        <x:v>APR门店经营明细
每店一行，用于门店排名、异常识别和经营下钻</x:v>
      </x:c>
      <x:c r="M2" s="20" t="str">
        <x:v>APR门店经营明细
每店一行，用于门店排名、异常识别和经营下钻</x:v>
      </x:c>
      <x:c r="N2" s="20" t="str">
        <x:v>APR门店经营明细
每店一行，用于门店排名、异常识别和经营下钻</x:v>
      </x:c>
      <x:c r="O2" s="20" t="str">
        <x:v>APR门店经营明细
每店一行，用于门店排名、异常识别和经营下钻</x:v>
      </x:c>
      <x:c r="P2" s="20" t="str">
        <x:v>APR门店经营明细
每店一行，用于门店排名、异常识别和经营下钻</x:v>
      </x:c>
      <x:c r="Q2" s="20" t="str">
        <x:v>APR门店经营明细
每店一行，用于门店排名、异常识别和经营下钻</x:v>
      </x:c>
      <x:c r="R2" s="20" t="str">
        <x:v>APR门店经营明细
每店一行，用于门店排名、异常识别和经营下钻</x:v>
      </x:c>
      <x:c r="S2" s="20" t="str">
        <x:v>APR门店经营明细
每店一行，用于门店排名、异常识别和经营下钻</x:v>
      </x:c>
      <x:c r="T2" s="20" t="str">
        <x:v>APR门店经营明细
每店一行，用于门店排名、异常识别和经营下钻</x:v>
      </x:c>
      <x:c r="U2" s="20" t="str">
        <x:v>APR门店经营明细
每店一行，用于门店排名、异常识别和经营下钻</x:v>
      </x:c>
      <x:c r="V2" s="21" t="str">
        <x:v>APR门店经营明细
每店一行，用于门店排名、异常识别和经营下钻</x:v>
      </x:c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必填：日期、门店、销售、目标、客流、订单、状态、异常说明、下一步动作、店长/负责人、数据来源和更新时间。配件销售额如无法取得可留空。</x:v>
      </x:c>
      <x:c r="B3" s="31" t="str">
        <x:v>必填：日期、门店、销售、目标、客流、订单、状态、异常说明、下一步动作、店长/负责人、数据来源和更新时间。配件销售额如无法取得可留空。</x:v>
      </x:c>
      <x:c r="C3" s="31" t="str">
        <x:v>必填：日期、门店、销售、目标、客流、订单、状态、异常说明、下一步动作、店长/负责人、数据来源和更新时间。配件销售额如无法取得可留空。</x:v>
      </x:c>
      <x:c r="D3" s="31" t="str">
        <x:v>必填：日期、门店、销售、目标、客流、订单、状态、异常说明、下一步动作、店长/负责人、数据来源和更新时间。配件销售额如无法取得可留空。</x:v>
      </x:c>
      <x:c r="E3" s="31" t="str">
        <x:v>必填：日期、门店、销售、目标、客流、订单、状态、异常说明、下一步动作、店长/负责人、数据来源和更新时间。配件销售额如无法取得可留空。</x:v>
      </x:c>
      <x:c r="F3" s="31" t="str">
        <x:v>必填：日期、门店、销售、目标、客流、订单、状态、异常说明、下一步动作、店长/负责人、数据来源和更新时间。配件销售额如无法取得可留空。</x:v>
      </x:c>
      <x:c r="G3" s="31" t="str">
        <x:v>必填：日期、门店、销售、目标、客流、订单、状态、异常说明、下一步动作、店长/负责人、数据来源和更新时间。配件销售额如无法取得可留空。</x:v>
      </x:c>
      <x:c r="H3" s="31" t="str">
        <x:v>必填：日期、门店、销售、目标、客流、订单、状态、异常说明、下一步动作、店长/负责人、数据来源和更新时间。配件销售额如无法取得可留空。</x:v>
      </x:c>
      <x:c r="I3" s="31" t="str">
        <x:v>必填：日期、门店、销售、目标、客流、订单、状态、异常说明、下一步动作、店长/负责人、数据来源和更新时间。配件销售额如无法取得可留空。</x:v>
      </x:c>
      <x:c r="J3" s="31" t="str">
        <x:v>必填：日期、门店、销售、目标、客流、订单、状态、异常说明、下一步动作、店长/负责人、数据来源和更新时间。配件销售额如无法取得可留空。</x:v>
      </x:c>
      <x:c r="K3" s="31" t="str">
        <x:v>必填：日期、门店、销售、目标、客流、订单、状态、异常说明、下一步动作、店长/负责人、数据来源和更新时间。配件销售额如无法取得可留空。</x:v>
      </x:c>
      <x:c r="L3" s="31" t="str">
        <x:v>必填：日期、门店、销售、目标、客流、订单、状态、异常说明、下一步动作、店长/负责人、数据来源和更新时间。配件销售额如无法取得可留空。</x:v>
      </x:c>
      <x:c r="M3" s="31" t="str">
        <x:v>必填：日期、门店、销售、目标、客流、订单、状态、异常说明、下一步动作、店长/负责人、数据来源和更新时间。配件销售额如无法取得可留空。</x:v>
      </x:c>
      <x:c r="N3" s="31" t="str">
        <x:v>必填：日期、门店、销售、目标、客流、订单、状态、异常说明、下一步动作、店长/负责人、数据来源和更新时间。配件销售额如无法取得可留空。</x:v>
      </x:c>
      <x:c r="O3" s="31" t="str">
        <x:v>必填：日期、门店、销售、目标、客流、订单、状态、异常说明、下一步动作、店长/负责人、数据来源和更新时间。配件销售额如无法取得可留空。</x:v>
      </x:c>
      <x:c r="P3" s="31" t="str">
        <x:v>必填：日期、门店、销售、目标、客流、订单、状态、异常说明、下一步动作、店长/负责人、数据来源和更新时间。配件销售额如无法取得可留空。</x:v>
      </x:c>
      <x:c r="Q3" s="31" t="str">
        <x:v>必填：日期、门店、销售、目标、客流、订单、状态、异常说明、下一步动作、店长/负责人、数据来源和更新时间。配件销售额如无法取得可留空。</x:v>
      </x:c>
      <x:c r="R3" s="31" t="str">
        <x:v>必填：日期、门店、销售、目标、客流、订单、状态、异常说明、下一步动作、店长/负责人、数据来源和更新时间。配件销售额如无法取得可留空。</x:v>
      </x:c>
      <x:c r="S3" s="31" t="str">
        <x:v>必填：日期、门店、销售、目标、客流、订单、状态、异常说明、下一步动作、店长/负责人、数据来源和更新时间。配件销售额如无法取得可留空。</x:v>
      </x:c>
      <x:c r="T3" s="31" t="str">
        <x:v>必填：日期、门店、销售、目标、客流、订单、状态、异常说明、下一步动作、店长/负责人、数据来源和更新时间。配件销售额如无法取得可留空。</x:v>
      </x:c>
      <x:c r="U3" s="31" t="str">
        <x:v>必填：日期、门店、销售、目标、客流、订单、状态、异常说明、下一步动作、店长/负责人、数据来源和更新时间。配件销售额如无法取得可留空。</x:v>
      </x:c>
      <x:c r="V3" s="32" t="str">
        <x:v>必填：日期、门店、销售、目标、客流、订单、状态、异常说明、下一步动作、店长/负责人、数据来源和更新时间。配件销售额如无法取得可留空。</x:v>
      </x:c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34" customHeight="1">
      <x:c r="A5" s="129" t="str">
        <x:v>报告日期</x:v>
      </x:c>
      <x:c r="B5" s="130" t="str">
        <x:v>门店</x:v>
      </x:c>
      <x:c r="C5" s="130" t="str">
        <x:v>区域</x:v>
      </x:c>
      <x:c r="D5" s="130" t="str">
        <x:v>当日销售（元）</x:v>
      </x:c>
      <x:c r="E5" s="130" t="str">
        <x:v>当日目标（元）</x:v>
      </x:c>
      <x:c r="F5" s="130" t="str">
        <x:v>完成率</x:v>
      </x:c>
      <x:c r="G5" s="130" t="str">
        <x:v>毛利额（元）</x:v>
      </x:c>
      <x:c r="H5" s="130" t="str">
        <x:v>毛利率</x:v>
      </x:c>
      <x:c r="I5" s="130" t="str">
        <x:v>客流</x:v>
      </x:c>
      <x:c r="J5" s="130" t="str">
        <x:v>订单数</x:v>
      </x:c>
      <x:c r="K5" s="130" t="str">
        <x:v>转化率</x:v>
      </x:c>
      <x:c r="L5" s="130" t="str">
        <x:v>配件销售额（元）</x:v>
      </x:c>
      <x:c r="M5" s="130" t="str">
        <x:v>配件占比</x:v>
      </x:c>
      <x:c r="N5" s="130" t="str">
        <x:v>库存金额（元）</x:v>
      </x:c>
      <x:c r="O5" s="130" t="str">
        <x:v>90天+库存（元）</x:v>
      </x:c>
      <x:c r="P5" s="130" t="str">
        <x:v>状态</x:v>
      </x:c>
      <x:c r="Q5" s="130" t="str">
        <x:v>异常说明</x:v>
      </x:c>
      <x:c r="R5" s="130" t="str">
        <x:v>下一步动作</x:v>
      </x:c>
      <x:c r="S5" s="130" t="str">
        <x:v>店长/负责人</x:v>
      </x:c>
      <x:c r="T5" s="130" t="str">
        <x:v>数据来源</x:v>
      </x:c>
      <x:c r="U5" s="130" t="str">
        <x:v>数据提供人</x:v>
      </x:c>
      <x:c r="V5" s="131" t="str">
        <x:v>更新时间</x:v>
      </x:c>
      <x:c r="W5" s="1"/>
      <x:c r="X5" s="1"/>
      <x:c r="Y5" s="1"/>
      <x:c r="Z5" s="1"/>
      <x:c r="AA5" s="1"/>
      <x:c r="AB5" s="1"/>
      <x:c r="AC5" s="1"/>
      <x:c r="AD5" s="1"/>
    </x:row>
    <x:row r="6" ht="28" customHeight="1">
      <x:c r="A6" s="221" t="n">
        <x:v>46242</x:v>
      </x:c>
      <x:c r="B6" s="210" t="str">
        <x:v>宿州苏宁广场店</x:v>
      </x:c>
      <x:c r="C6" s="210" t="str">
        <x:v>安徽</x:v>
      </x:c>
      <x:c r="D6" s="224" t="n">
        <x:v>508000</x:v>
      </x:c>
      <x:c r="E6" s="224" t="n">
        <x:v>480000</x:v>
      </x:c>
      <x:c r="F6" s="227" t="n">
        <x:f>IF(B6="","",IFERROR(D6/E6,0))</x:f>
        <x:v>1.0583333333333333</x:v>
      </x:c>
      <x:c r="G6" s="224" t="n">
        <x:v>54356</x:v>
      </x:c>
      <x:c r="H6" s="227" t="n">
        <x:f>IF(B6="","",IFERROR(G6/D6,0))</x:f>
        <x:v>0.107</x:v>
      </x:c>
      <x:c r="I6" s="210" t="n">
        <x:v>680</x:v>
      </x:c>
      <x:c r="J6" s="210" t="n">
        <x:v>56</x:v>
      </x:c>
      <x:c r="K6" s="227" t="n">
        <x:f>IF(B6="","",IFERROR(J6/I6,0))</x:f>
        <x:v>0.08235294117647059</x:v>
      </x:c>
      <x:c r="L6" s="224" t="n">
        <x:v>85200</x:v>
      </x:c>
      <x:c r="M6" s="227" t="n">
        <x:f>IF(B6="","",IFERROR(L6/D6,0))</x:f>
        <x:v>0.16771653543307086</x:v>
      </x:c>
      <x:c r="N6" s="224" t="n">
        <x:v>1850000</x:v>
      </x:c>
      <x:c r="O6" s="224" t="n">
        <x:v>72000</x:v>
      </x:c>
      <x:c r="P6" s="210" t="str">
        <x:v>正常</x:v>
      </x:c>
      <x:c r="Q6" s="210" t="str">
        <x:v>销售和客流均达标</x:v>
      </x:c>
      <x:c r="R6" s="210" t="str">
        <x:v>保持重点机型和配件联动</x:v>
      </x:c>
      <x:c r="S6" s="210" t="str">
        <x:v>王梅</x:v>
      </x:c>
      <x:c r="T6" s="210" t="str">
        <x:v>门店日报/ERP</x:v>
      </x:c>
      <x:c r="U6" s="210" t="str">
        <x:v>门店店长</x:v>
      </x:c>
      <x:c r="V6" s="236" t="n">
        <x:v>46242.00208333333</x:v>
      </x:c>
      <x:c r="W6" s="1"/>
      <x:c r="X6" s="1"/>
      <x:c r="Y6" s="1"/>
      <x:c r="Z6" s="1"/>
      <x:c r="AA6" s="1"/>
      <x:c r="AB6" s="1"/>
      <x:c r="AC6" s="1"/>
      <x:c r="AD6" s="1"/>
    </x:row>
    <x:row r="7" ht="28" customHeight="1">
      <x:c r="A7" s="222" t="n">
        <x:v>46242</x:v>
      </x:c>
      <x:c r="B7" s="212" t="str">
        <x:v>镇江苏宁广场店</x:v>
      </x:c>
      <x:c r="C7" s="212" t="str">
        <x:v>江苏</x:v>
      </x:c>
      <x:c r="D7" s="225" t="n">
        <x:v>361000</x:v>
      </x:c>
      <x:c r="E7" s="225" t="n">
        <x:v>350000</x:v>
      </x:c>
      <x:c r="F7" s="228" t="n">
        <x:f>IF(B7="","",IFERROR(D7/E7,0))</x:f>
        <x:v>1.0314285714285714</x:v>
      </x:c>
      <x:c r="G7" s="225" t="n">
        <x:v>35739</x:v>
      </x:c>
      <x:c r="H7" s="228" t="n">
        <x:f>IF(B7="","",IFERROR(G7/D7,0))</x:f>
        <x:v>0.099</x:v>
      </x:c>
      <x:c r="I7" s="212" t="n">
        <x:v>520</x:v>
      </x:c>
      <x:c r="J7" s="212" t="n">
        <x:v>43</x:v>
      </x:c>
      <x:c r="K7" s="228" t="n">
        <x:f>IF(B7="","",IFERROR(J7/I7,0))</x:f>
        <x:v>0.08269230769230769</x:v>
      </x:c>
      <x:c r="L7" s="225" t="n">
        <x:v>54150</x:v>
      </x:c>
      <x:c r="M7" s="228" t="n">
        <x:f>IF(B7="","",IFERROR(L7/D7,0))</x:f>
        <x:v>0.15</x:v>
      </x:c>
      <x:c r="N7" s="225" t="n">
        <x:v>1490000</x:v>
      </x:c>
      <x:c r="O7" s="225" t="n">
        <x:v>56000</x:v>
      </x:c>
      <x:c r="P7" s="212" t="str">
        <x:v>正常</x:v>
      </x:c>
      <x:c r="Q7" s="212" t="str">
        <x:v>开业物料按节点推进</x:v>
      </x:c>
      <x:c r="R7" s="212" t="str">
        <x:v>完成物料确认和到店验收</x:v>
      </x:c>
      <x:c r="S7" s="212" t="str">
        <x:v>曹健</x:v>
      </x:c>
      <x:c r="T7" s="212" t="str">
        <x:v>门店日报/ERP</x:v>
      </x:c>
      <x:c r="U7" s="212" t="str">
        <x:v>门店店长</x:v>
      </x:c>
      <x:c r="V7" s="237" t="n">
        <x:v>46242.00277777778</x:v>
      </x:c>
      <x:c r="W7" s="1"/>
      <x:c r="X7" s="1"/>
      <x:c r="Y7" s="1"/>
      <x:c r="Z7" s="1"/>
      <x:c r="AA7" s="1"/>
      <x:c r="AB7" s="1"/>
      <x:c r="AC7" s="1"/>
      <x:c r="AD7" s="1"/>
    </x:row>
    <x:row r="8" ht="28" customHeight="1">
      <x:c r="A8" s="222" t="n">
        <x:v>46242</x:v>
      </x:c>
      <x:c r="B8" s="212" t="str">
        <x:v>徐州彭城苏宁广场店</x:v>
      </x:c>
      <x:c r="C8" s="212" t="str">
        <x:v>江苏</x:v>
      </x:c>
      <x:c r="D8" s="225" t="n">
        <x:v>305000</x:v>
      </x:c>
      <x:c r="E8" s="225" t="n">
        <x:v>340000</x:v>
      </x:c>
      <x:c r="F8" s="228" t="n">
        <x:f>IF(B8="","",IFERROR(D8/E8,0))</x:f>
        <x:v>0.8970588235294118</x:v>
      </x:c>
      <x:c r="G8" s="225" t="n">
        <x:v>27755</x:v>
      </x:c>
      <x:c r="H8" s="228" t="n">
        <x:f>IF(B8="","",IFERROR(G8/D8,0))</x:f>
        <x:v>0.091</x:v>
      </x:c>
      <x:c r="I8" s="212" t="n">
        <x:v>610</x:v>
      </x:c>
      <x:c r="J8" s="212" t="n">
        <x:v>37</x:v>
      </x:c>
      <x:c r="K8" s="228" t="n">
        <x:f>IF(B8="","",IFERROR(J8/I8,0))</x:f>
        <x:v>0.060655737704918035</x:v>
      </x:c>
      <x:c r="L8" s="225" t="n">
        <x:v>36600</x:v>
      </x:c>
      <x:c r="M8" s="228" t="n">
        <x:f>IF(B8="","",IFERROR(L8/D8,0))</x:f>
        <x:v>0.12</x:v>
      </x:c>
      <x:c r="N8" s="225" t="n">
        <x:v>1630000</x:v>
      </x:c>
      <x:c r="O8" s="225" t="n">
        <x:v>81000</x:v>
      </x:c>
      <x:c r="P8" s="212" t="str">
        <x:v>关注</x:v>
      </x:c>
      <x:c r="Q8" s="212" t="str">
        <x:v>转化率低于门店均值</x:v>
      </x:c>
      <x:c r="R8" s="212" t="str">
        <x:v>复盘客流承接并调整当日排班</x:v>
      </x:c>
      <x:c r="S8" s="212" t="str">
        <x:v>黄金方</x:v>
      </x:c>
      <x:c r="T8" s="212" t="str">
        <x:v>门店日报/ERP</x:v>
      </x:c>
      <x:c r="U8" s="212" t="str">
        <x:v>门店店长</x:v>
      </x:c>
      <x:c r="V8" s="237" t="n">
        <x:v>46242.00347222222</x:v>
      </x:c>
      <x:c r="W8" s="1"/>
      <x:c r="X8" s="1"/>
      <x:c r="Y8" s="1"/>
      <x:c r="Z8" s="1"/>
      <x:c r="AA8" s="1"/>
      <x:c r="AB8" s="1"/>
      <x:c r="AC8" s="1"/>
      <x:c r="AD8" s="1"/>
    </x:row>
    <x:row r="9" ht="28" customHeight="1">
      <x:c r="A9" s="222" t="n">
        <x:v>46242</x:v>
      </x:c>
      <x:c r="B9" s="212" t="str">
        <x:v>无锡苏宁广场店</x:v>
      </x:c>
      <x:c r="C9" s="212" t="str">
        <x:v>江苏</x:v>
      </x:c>
      <x:c r="D9" s="225" t="n">
        <x:v>226000</x:v>
      </x:c>
      <x:c r="E9" s="225" t="n">
        <x:v>280000</x:v>
      </x:c>
      <x:c r="F9" s="228" t="n">
        <x:f>IF(B9="","",IFERROR(D9/E9,0))</x:f>
        <x:v>0.8071428571428572</x:v>
      </x:c>
      <x:c r="G9" s="225" t="n">
        <x:v>18984</x:v>
      </x:c>
      <x:c r="H9" s="228" t="n">
        <x:f>IF(B9="","",IFERROR(G9/D9,0))</x:f>
        <x:v>0.084</x:v>
      </x:c>
      <x:c r="I9" s="212" t="n">
        <x:v>475</x:v>
      </x:c>
      <x:c r="J9" s="212" t="n">
        <x:v>24</x:v>
      </x:c>
      <x:c r="K9" s="228" t="n">
        <x:f>IF(B9="","",IFERROR(J9/I9,0))</x:f>
        <x:v>0.05052631578947368</x:v>
      </x:c>
      <x:c r="L9" s="225" t="n">
        <x:v>20340</x:v>
      </x:c>
      <x:c r="M9" s="228" t="n">
        <x:f>IF(B9="","",IFERROR(L9/D9,0))</x:f>
        <x:v>0.09</x:v>
      </x:c>
      <x:c r="N9" s="225" t="n">
        <x:v>1380000</x:v>
      </x:c>
      <x:c r="O9" s="225" t="n">
        <x:v>93000</x:v>
      </x:c>
      <x:c r="P9" s="212" t="str">
        <x:v>预警</x:v>
      </x:c>
      <x:c r="Q9" s="212" t="str">
        <x:v>重点SKU覆盖不足，转化偏低</x:v>
      </x:c>
      <x:c r="R9" s="212" t="str">
        <x:v>跨店调剂并明确补货节点</x:v>
      </x:c>
      <x:c r="S9" s="212" t="str">
        <x:v>田国伟</x:v>
      </x:c>
      <x:c r="T9" s="212" t="str">
        <x:v>门店日报/ERP</x:v>
      </x:c>
      <x:c r="U9" s="212" t="str">
        <x:v>门店店长</x:v>
      </x:c>
      <x:c r="V9" s="237" t="n">
        <x:v>46242.004166666666</x:v>
      </x:c>
      <x:c r="W9" s="1"/>
      <x:c r="X9" s="1"/>
      <x:c r="Y9" s="1"/>
      <x:c r="Z9" s="1"/>
      <x:c r="AA9" s="1"/>
      <x:c r="AB9" s="1"/>
      <x:c r="AC9" s="1"/>
      <x:c r="AD9" s="1"/>
    </x:row>
    <x:row r="10" ht="28" customHeight="1">
      <x:c r="A10" s="222"/>
      <x:c r="B10" s="212"/>
      <x:c r="C10" s="212"/>
      <x:c r="D10" s="225"/>
      <x:c r="E10" s="225"/>
      <x:c r="F10" s="228" t="str">
        <x:f>IF(B10="","",IFERROR(D10/E10,0))</x:f>
      </x:c>
      <x:c r="G10" s="225"/>
      <x:c r="H10" s="228" t="str">
        <x:f>IF(B10="","",IFERROR(G10/D10,0))</x:f>
      </x:c>
      <x:c r="I10" s="212"/>
      <x:c r="J10" s="212"/>
      <x:c r="K10" s="228" t="str">
        <x:f>IF(B10="","",IFERROR(J10/I10,0))</x:f>
      </x:c>
      <x:c r="L10" s="225"/>
      <x:c r="M10" s="228" t="str">
        <x:f>IF(B10="","",IFERROR(L10/D10,0))</x:f>
      </x:c>
      <x:c r="N10" s="225"/>
      <x:c r="O10" s="225"/>
      <x:c r="P10" s="212"/>
      <x:c r="Q10" s="212"/>
      <x:c r="R10" s="212"/>
      <x:c r="S10" s="212"/>
      <x:c r="T10" s="212"/>
      <x:c r="U10" s="212"/>
      <x:c r="V10" s="237"/>
      <x:c r="W10" s="1"/>
      <x:c r="X10" s="1"/>
      <x:c r="Y10" s="1"/>
      <x:c r="Z10" s="1"/>
      <x:c r="AA10" s="1"/>
      <x:c r="AB10" s="1"/>
      <x:c r="AC10" s="1"/>
      <x:c r="AD10" s="1"/>
    </x:row>
    <x:row r="11" ht="28" customHeight="1">
      <x:c r="A11" s="222"/>
      <x:c r="B11" s="212"/>
      <x:c r="C11" s="212"/>
      <x:c r="D11" s="225"/>
      <x:c r="E11" s="225"/>
      <x:c r="F11" s="228" t="str">
        <x:f>IF(B11="","",IFERROR(D11/E11,0))</x:f>
      </x:c>
      <x:c r="G11" s="225"/>
      <x:c r="H11" s="228" t="str">
        <x:f>IF(B11="","",IFERROR(G11/D11,0))</x:f>
      </x:c>
      <x:c r="I11" s="212"/>
      <x:c r="J11" s="212"/>
      <x:c r="K11" s="228" t="str">
        <x:f>IF(B11="","",IFERROR(J11/I11,0))</x:f>
      </x:c>
      <x:c r="L11" s="225"/>
      <x:c r="M11" s="228" t="str">
        <x:f>IF(B11="","",IFERROR(L11/D11,0))</x:f>
      </x:c>
      <x:c r="N11" s="225"/>
      <x:c r="O11" s="225"/>
      <x:c r="P11" s="212"/>
      <x:c r="Q11" s="212"/>
      <x:c r="R11" s="212"/>
      <x:c r="S11" s="212"/>
      <x:c r="T11" s="212"/>
      <x:c r="U11" s="212"/>
      <x:c r="V11" s="237"/>
      <x:c r="W11" s="1"/>
      <x:c r="X11" s="1"/>
      <x:c r="Y11" s="1"/>
      <x:c r="Z11" s="1"/>
      <x:c r="AA11" s="1"/>
      <x:c r="AB11" s="1"/>
      <x:c r="AC11" s="1"/>
      <x:c r="AD11" s="1"/>
    </x:row>
    <x:row r="12" ht="28" customHeight="1">
      <x:c r="A12" s="222"/>
      <x:c r="B12" s="212"/>
      <x:c r="C12" s="212"/>
      <x:c r="D12" s="225"/>
      <x:c r="E12" s="225"/>
      <x:c r="F12" s="228" t="str">
        <x:f>IF(B12="","",IFERROR(D12/E12,0))</x:f>
      </x:c>
      <x:c r="G12" s="225"/>
      <x:c r="H12" s="228" t="str">
        <x:f>IF(B12="","",IFERROR(G12/D12,0))</x:f>
      </x:c>
      <x:c r="I12" s="212"/>
      <x:c r="J12" s="212"/>
      <x:c r="K12" s="228" t="str">
        <x:f>IF(B12="","",IFERROR(J12/I12,0))</x:f>
      </x:c>
      <x:c r="L12" s="225"/>
      <x:c r="M12" s="228" t="str">
        <x:f>IF(B12="","",IFERROR(L12/D12,0))</x:f>
      </x:c>
      <x:c r="N12" s="225"/>
      <x:c r="O12" s="225"/>
      <x:c r="P12" s="212"/>
      <x:c r="Q12" s="212"/>
      <x:c r="R12" s="212"/>
      <x:c r="S12" s="212"/>
      <x:c r="T12" s="212"/>
      <x:c r="U12" s="212"/>
      <x:c r="V12" s="237"/>
      <x:c r="W12" s="1"/>
      <x:c r="X12" s="1"/>
      <x:c r="Y12" s="1"/>
      <x:c r="Z12" s="1"/>
      <x:c r="AA12" s="1"/>
      <x:c r="AB12" s="1"/>
      <x:c r="AC12" s="1"/>
      <x:c r="AD12" s="1"/>
    </x:row>
    <x:row r="13" ht="28" customHeight="1">
      <x:c r="A13" s="222"/>
      <x:c r="B13" s="212"/>
      <x:c r="C13" s="212"/>
      <x:c r="D13" s="225"/>
      <x:c r="E13" s="225"/>
      <x:c r="F13" s="228" t="str">
        <x:f>IF(B13="","",IFERROR(D13/E13,0))</x:f>
      </x:c>
      <x:c r="G13" s="225"/>
      <x:c r="H13" s="228" t="str">
        <x:f>IF(B13="","",IFERROR(G13/D13,0))</x:f>
      </x:c>
      <x:c r="I13" s="212"/>
      <x:c r="J13" s="212"/>
      <x:c r="K13" s="228" t="str">
        <x:f>IF(B13="","",IFERROR(J13/I13,0))</x:f>
      </x:c>
      <x:c r="L13" s="225"/>
      <x:c r="M13" s="228" t="str">
        <x:f>IF(B13="","",IFERROR(L13/D13,0))</x:f>
      </x:c>
      <x:c r="N13" s="225"/>
      <x:c r="O13" s="225"/>
      <x:c r="P13" s="212"/>
      <x:c r="Q13" s="212"/>
      <x:c r="R13" s="212"/>
      <x:c r="S13" s="212"/>
      <x:c r="T13" s="212"/>
      <x:c r="U13" s="212"/>
      <x:c r="V13" s="237"/>
      <x:c r="W13" s="1"/>
      <x:c r="X13" s="1"/>
      <x:c r="Y13" s="1"/>
      <x:c r="Z13" s="1"/>
      <x:c r="AA13" s="1"/>
      <x:c r="AB13" s="1"/>
      <x:c r="AC13" s="1"/>
      <x:c r="AD13" s="1"/>
    </x:row>
    <x:row r="14" ht="28" customHeight="1">
      <x:c r="A14" s="222"/>
      <x:c r="B14" s="212"/>
      <x:c r="C14" s="212"/>
      <x:c r="D14" s="225"/>
      <x:c r="E14" s="225"/>
      <x:c r="F14" s="228" t="str">
        <x:f>IF(B14="","",IFERROR(D14/E14,0))</x:f>
      </x:c>
      <x:c r="G14" s="225"/>
      <x:c r="H14" s="228" t="str">
        <x:f>IF(B14="","",IFERROR(G14/D14,0))</x:f>
      </x:c>
      <x:c r="I14" s="212"/>
      <x:c r="J14" s="212"/>
      <x:c r="K14" s="228" t="str">
        <x:f>IF(B14="","",IFERROR(J14/I14,0))</x:f>
      </x:c>
      <x:c r="L14" s="225"/>
      <x:c r="M14" s="228" t="str">
        <x:f>IF(B14="","",IFERROR(L14/D14,0))</x:f>
      </x:c>
      <x:c r="N14" s="225"/>
      <x:c r="O14" s="225"/>
      <x:c r="P14" s="212"/>
      <x:c r="Q14" s="212"/>
      <x:c r="R14" s="212"/>
      <x:c r="S14" s="212"/>
      <x:c r="T14" s="212"/>
      <x:c r="U14" s="212"/>
      <x:c r="V14" s="237"/>
      <x:c r="W14" s="1"/>
      <x:c r="X14" s="1"/>
      <x:c r="Y14" s="1"/>
      <x:c r="Z14" s="1"/>
      <x:c r="AA14" s="1"/>
      <x:c r="AB14" s="1"/>
      <x:c r="AC14" s="1"/>
      <x:c r="AD14" s="1"/>
    </x:row>
    <x:row r="15" ht="28" customHeight="1">
      <x:c r="A15" s="222"/>
      <x:c r="B15" s="212"/>
      <x:c r="C15" s="212"/>
      <x:c r="D15" s="225"/>
      <x:c r="E15" s="225"/>
      <x:c r="F15" s="228" t="str">
        <x:f>IF(B15="","",IFERROR(D15/E15,0))</x:f>
      </x:c>
      <x:c r="G15" s="225"/>
      <x:c r="H15" s="228" t="str">
        <x:f>IF(B15="","",IFERROR(G15/D15,0))</x:f>
      </x:c>
      <x:c r="I15" s="212"/>
      <x:c r="J15" s="212"/>
      <x:c r="K15" s="228" t="str">
        <x:f>IF(B15="","",IFERROR(J15/I15,0))</x:f>
      </x:c>
      <x:c r="L15" s="225"/>
      <x:c r="M15" s="228" t="str">
        <x:f>IF(B15="","",IFERROR(L15/D15,0))</x:f>
      </x:c>
      <x:c r="N15" s="225"/>
      <x:c r="O15" s="225"/>
      <x:c r="P15" s="212"/>
      <x:c r="Q15" s="212"/>
      <x:c r="R15" s="212"/>
      <x:c r="S15" s="212"/>
      <x:c r="T15" s="212"/>
      <x:c r="U15" s="212"/>
      <x:c r="V15" s="237"/>
      <x:c r="W15" s="1"/>
      <x:c r="X15" s="1"/>
      <x:c r="Y15" s="1"/>
      <x:c r="Z15" s="1"/>
      <x:c r="AA15" s="1"/>
      <x:c r="AB15" s="1"/>
      <x:c r="AC15" s="1"/>
      <x:c r="AD15" s="1"/>
    </x:row>
    <x:row r="16" ht="28" customHeight="1">
      <x:c r="A16" s="222"/>
      <x:c r="B16" s="212"/>
      <x:c r="C16" s="212"/>
      <x:c r="D16" s="225"/>
      <x:c r="E16" s="225"/>
      <x:c r="F16" s="228" t="str">
        <x:f>IF(B16="","",IFERROR(D16/E16,0))</x:f>
      </x:c>
      <x:c r="G16" s="225"/>
      <x:c r="H16" s="228" t="str">
        <x:f>IF(B16="","",IFERROR(G16/D16,0))</x:f>
      </x:c>
      <x:c r="I16" s="212"/>
      <x:c r="J16" s="212"/>
      <x:c r="K16" s="228" t="str">
        <x:f>IF(B16="","",IFERROR(J16/I16,0))</x:f>
      </x:c>
      <x:c r="L16" s="225"/>
      <x:c r="M16" s="228" t="str">
        <x:f>IF(B16="","",IFERROR(L16/D16,0))</x:f>
      </x:c>
      <x:c r="N16" s="225"/>
      <x:c r="O16" s="225"/>
      <x:c r="P16" s="212"/>
      <x:c r="Q16" s="212"/>
      <x:c r="R16" s="212"/>
      <x:c r="S16" s="212"/>
      <x:c r="T16" s="212"/>
      <x:c r="U16" s="212"/>
      <x:c r="V16" s="237"/>
      <x:c r="W16" s="1"/>
      <x:c r="X16" s="1"/>
      <x:c r="Y16" s="1"/>
      <x:c r="Z16" s="1"/>
      <x:c r="AA16" s="1"/>
      <x:c r="AB16" s="1"/>
      <x:c r="AC16" s="1"/>
      <x:c r="AD16" s="1"/>
    </x:row>
    <x:row r="17" ht="28" customHeight="1">
      <x:c r="A17" s="222"/>
      <x:c r="B17" s="212"/>
      <x:c r="C17" s="212"/>
      <x:c r="D17" s="225"/>
      <x:c r="E17" s="225"/>
      <x:c r="F17" s="228" t="str">
        <x:f>IF(B17="","",IFERROR(D17/E17,0))</x:f>
      </x:c>
      <x:c r="G17" s="225"/>
      <x:c r="H17" s="228" t="str">
        <x:f>IF(B17="","",IFERROR(G17/D17,0))</x:f>
      </x:c>
      <x:c r="I17" s="212"/>
      <x:c r="J17" s="212"/>
      <x:c r="K17" s="228" t="str">
        <x:f>IF(B17="","",IFERROR(J17/I17,0))</x:f>
      </x:c>
      <x:c r="L17" s="225"/>
      <x:c r="M17" s="228" t="str">
        <x:f>IF(B17="","",IFERROR(L17/D17,0))</x:f>
      </x:c>
      <x:c r="N17" s="225"/>
      <x:c r="O17" s="225"/>
      <x:c r="P17" s="212"/>
      <x:c r="Q17" s="212"/>
      <x:c r="R17" s="212"/>
      <x:c r="S17" s="212"/>
      <x:c r="T17" s="212"/>
      <x:c r="U17" s="212"/>
      <x:c r="V17" s="237"/>
      <x:c r="W17" s="1"/>
      <x:c r="X17" s="1"/>
      <x:c r="Y17" s="1"/>
      <x:c r="Z17" s="1"/>
      <x:c r="AA17" s="1"/>
      <x:c r="AB17" s="1"/>
      <x:c r="AC17" s="1"/>
      <x:c r="AD17" s="1"/>
    </x:row>
    <x:row r="18" ht="28" customHeight="1">
      <x:c r="A18" s="222"/>
      <x:c r="B18" s="212"/>
      <x:c r="C18" s="212"/>
      <x:c r="D18" s="225"/>
      <x:c r="E18" s="225"/>
      <x:c r="F18" s="228" t="str">
        <x:f>IF(B18="","",IFERROR(D18/E18,0))</x:f>
      </x:c>
      <x:c r="G18" s="225"/>
      <x:c r="H18" s="228" t="str">
        <x:f>IF(B18="","",IFERROR(G18/D18,0))</x:f>
      </x:c>
      <x:c r="I18" s="212"/>
      <x:c r="J18" s="212"/>
      <x:c r="K18" s="228" t="str">
        <x:f>IF(B18="","",IFERROR(J18/I18,0))</x:f>
      </x:c>
      <x:c r="L18" s="225"/>
      <x:c r="M18" s="228" t="str">
        <x:f>IF(B18="","",IFERROR(L18/D18,0))</x:f>
      </x:c>
      <x:c r="N18" s="225"/>
      <x:c r="O18" s="225"/>
      <x:c r="P18" s="212"/>
      <x:c r="Q18" s="212"/>
      <x:c r="R18" s="212"/>
      <x:c r="S18" s="212"/>
      <x:c r="T18" s="212"/>
      <x:c r="U18" s="212"/>
      <x:c r="V18" s="237"/>
      <x:c r="W18" s="1"/>
      <x:c r="X18" s="1"/>
      <x:c r="Y18" s="1"/>
      <x:c r="Z18" s="1"/>
      <x:c r="AA18" s="1"/>
      <x:c r="AB18" s="1"/>
      <x:c r="AC18" s="1"/>
      <x:c r="AD18" s="1"/>
    </x:row>
    <x:row r="19" ht="28" customHeight="1">
      <x:c r="A19" s="222"/>
      <x:c r="B19" s="212"/>
      <x:c r="C19" s="212"/>
      <x:c r="D19" s="225"/>
      <x:c r="E19" s="225"/>
      <x:c r="F19" s="228" t="str">
        <x:f>IF(B19="","",IFERROR(D19/E19,0))</x:f>
      </x:c>
      <x:c r="G19" s="225"/>
      <x:c r="H19" s="228" t="str">
        <x:f>IF(B19="","",IFERROR(G19/D19,0))</x:f>
      </x:c>
      <x:c r="I19" s="212"/>
      <x:c r="J19" s="212"/>
      <x:c r="K19" s="228" t="str">
        <x:f>IF(B19="","",IFERROR(J19/I19,0))</x:f>
      </x:c>
      <x:c r="L19" s="225"/>
      <x:c r="M19" s="228" t="str">
        <x:f>IF(B19="","",IFERROR(L19/D19,0))</x:f>
      </x:c>
      <x:c r="N19" s="225"/>
      <x:c r="O19" s="225"/>
      <x:c r="P19" s="212"/>
      <x:c r="Q19" s="212"/>
      <x:c r="R19" s="212"/>
      <x:c r="S19" s="212"/>
      <x:c r="T19" s="212"/>
      <x:c r="U19" s="212"/>
      <x:c r="V19" s="237"/>
      <x:c r="W19" s="1"/>
      <x:c r="X19" s="1"/>
      <x:c r="Y19" s="1"/>
      <x:c r="Z19" s="1"/>
      <x:c r="AA19" s="1"/>
      <x:c r="AB19" s="1"/>
      <x:c r="AC19" s="1"/>
      <x:c r="AD19" s="1"/>
    </x:row>
    <x:row r="20" ht="28" customHeight="1">
      <x:c r="A20" s="222"/>
      <x:c r="B20" s="212"/>
      <x:c r="C20" s="212"/>
      <x:c r="D20" s="225"/>
      <x:c r="E20" s="225"/>
      <x:c r="F20" s="228" t="str">
        <x:f>IF(B20="","",IFERROR(D20/E20,0))</x:f>
      </x:c>
      <x:c r="G20" s="225"/>
      <x:c r="H20" s="228" t="str">
        <x:f>IF(B20="","",IFERROR(G20/D20,0))</x:f>
      </x:c>
      <x:c r="I20" s="212"/>
      <x:c r="J20" s="212"/>
      <x:c r="K20" s="228" t="str">
        <x:f>IF(B20="","",IFERROR(J20/I20,0))</x:f>
      </x:c>
      <x:c r="L20" s="225"/>
      <x:c r="M20" s="228" t="str">
        <x:f>IF(B20="","",IFERROR(L20/D20,0))</x:f>
      </x:c>
      <x:c r="N20" s="225"/>
      <x:c r="O20" s="225"/>
      <x:c r="P20" s="212"/>
      <x:c r="Q20" s="212"/>
      <x:c r="R20" s="212"/>
      <x:c r="S20" s="212"/>
      <x:c r="T20" s="212"/>
      <x:c r="U20" s="212"/>
      <x:c r="V20" s="237"/>
      <x:c r="W20" s="1"/>
      <x:c r="X20" s="1"/>
      <x:c r="Y20" s="1"/>
      <x:c r="Z20" s="1"/>
      <x:c r="AA20" s="1"/>
      <x:c r="AB20" s="1"/>
      <x:c r="AC20" s="1"/>
      <x:c r="AD20" s="1"/>
    </x:row>
    <x:row r="21" ht="28" customHeight="1">
      <x:c r="A21" s="222"/>
      <x:c r="B21" s="212"/>
      <x:c r="C21" s="212"/>
      <x:c r="D21" s="225"/>
      <x:c r="E21" s="225"/>
      <x:c r="F21" s="228" t="str">
        <x:f>IF(B21="","",IFERROR(D21/E21,0))</x:f>
      </x:c>
      <x:c r="G21" s="225"/>
      <x:c r="H21" s="228" t="str">
        <x:f>IF(B21="","",IFERROR(G21/D21,0))</x:f>
      </x:c>
      <x:c r="I21" s="212"/>
      <x:c r="J21" s="212"/>
      <x:c r="K21" s="228" t="str">
        <x:f>IF(B21="","",IFERROR(J21/I21,0))</x:f>
      </x:c>
      <x:c r="L21" s="225"/>
      <x:c r="M21" s="228" t="str">
        <x:f>IF(B21="","",IFERROR(L21/D21,0))</x:f>
      </x:c>
      <x:c r="N21" s="225"/>
      <x:c r="O21" s="225"/>
      <x:c r="P21" s="212"/>
      <x:c r="Q21" s="212"/>
      <x:c r="R21" s="212"/>
      <x:c r="S21" s="212"/>
      <x:c r="T21" s="212"/>
      <x:c r="U21" s="212"/>
      <x:c r="V21" s="237"/>
      <x:c r="W21" s="1"/>
      <x:c r="X21" s="1"/>
      <x:c r="Y21" s="1"/>
      <x:c r="Z21" s="1"/>
      <x:c r="AA21" s="1"/>
      <x:c r="AB21" s="1"/>
      <x:c r="AC21" s="1"/>
      <x:c r="AD21" s="1"/>
    </x:row>
    <x:row r="22" ht="28" customHeight="1">
      <x:c r="A22" s="222"/>
      <x:c r="B22" s="212"/>
      <x:c r="C22" s="212"/>
      <x:c r="D22" s="225"/>
      <x:c r="E22" s="225"/>
      <x:c r="F22" s="228" t="str">
        <x:f>IF(B22="","",IFERROR(D22/E22,0))</x:f>
      </x:c>
      <x:c r="G22" s="225"/>
      <x:c r="H22" s="228" t="str">
        <x:f>IF(B22="","",IFERROR(G22/D22,0))</x:f>
      </x:c>
      <x:c r="I22" s="212"/>
      <x:c r="J22" s="212"/>
      <x:c r="K22" s="228" t="str">
        <x:f>IF(B22="","",IFERROR(J22/I22,0))</x:f>
      </x:c>
      <x:c r="L22" s="225"/>
      <x:c r="M22" s="228" t="str">
        <x:f>IF(B22="","",IFERROR(L22/D22,0))</x:f>
      </x:c>
      <x:c r="N22" s="225"/>
      <x:c r="O22" s="225"/>
      <x:c r="P22" s="212"/>
      <x:c r="Q22" s="212"/>
      <x:c r="R22" s="212"/>
      <x:c r="S22" s="212"/>
      <x:c r="T22" s="212"/>
      <x:c r="U22" s="212"/>
      <x:c r="V22" s="237"/>
      <x:c r="W22" s="1"/>
      <x:c r="X22" s="1"/>
      <x:c r="Y22" s="1"/>
      <x:c r="Z22" s="1"/>
      <x:c r="AA22" s="1"/>
      <x:c r="AB22" s="1"/>
      <x:c r="AC22" s="1"/>
      <x:c r="AD22" s="1"/>
    </x:row>
    <x:row r="23" ht="28" customHeight="1">
      <x:c r="A23" s="222"/>
      <x:c r="B23" s="212"/>
      <x:c r="C23" s="212"/>
      <x:c r="D23" s="225"/>
      <x:c r="E23" s="225"/>
      <x:c r="F23" s="228" t="str">
        <x:f>IF(B23="","",IFERROR(D23/E23,0))</x:f>
      </x:c>
      <x:c r="G23" s="225"/>
      <x:c r="H23" s="228" t="str">
        <x:f>IF(B23="","",IFERROR(G23/D23,0))</x:f>
      </x:c>
      <x:c r="I23" s="212"/>
      <x:c r="J23" s="212"/>
      <x:c r="K23" s="228" t="str">
        <x:f>IF(B23="","",IFERROR(J23/I23,0))</x:f>
      </x:c>
      <x:c r="L23" s="225"/>
      <x:c r="M23" s="228" t="str">
        <x:f>IF(B23="","",IFERROR(L23/D23,0))</x:f>
      </x:c>
      <x:c r="N23" s="225"/>
      <x:c r="O23" s="225"/>
      <x:c r="P23" s="212"/>
      <x:c r="Q23" s="212"/>
      <x:c r="R23" s="212"/>
      <x:c r="S23" s="212"/>
      <x:c r="T23" s="212"/>
      <x:c r="U23" s="212"/>
      <x:c r="V23" s="237"/>
      <x:c r="W23" s="1"/>
      <x:c r="X23" s="1"/>
      <x:c r="Y23" s="1"/>
      <x:c r="Z23" s="1"/>
      <x:c r="AA23" s="1"/>
      <x:c r="AB23" s="1"/>
      <x:c r="AC23" s="1"/>
      <x:c r="AD23" s="1"/>
    </x:row>
    <x:row r="24" ht="28" customHeight="1">
      <x:c r="A24" s="222"/>
      <x:c r="B24" s="212"/>
      <x:c r="C24" s="212"/>
      <x:c r="D24" s="225"/>
      <x:c r="E24" s="225"/>
      <x:c r="F24" s="228" t="str">
        <x:f>IF(B24="","",IFERROR(D24/E24,0))</x:f>
      </x:c>
      <x:c r="G24" s="225"/>
      <x:c r="H24" s="228" t="str">
        <x:f>IF(B24="","",IFERROR(G24/D24,0))</x:f>
      </x:c>
      <x:c r="I24" s="212"/>
      <x:c r="J24" s="212"/>
      <x:c r="K24" s="228" t="str">
        <x:f>IF(B24="","",IFERROR(J24/I24,0))</x:f>
      </x:c>
      <x:c r="L24" s="225"/>
      <x:c r="M24" s="228" t="str">
        <x:f>IF(B24="","",IFERROR(L24/D24,0))</x:f>
      </x:c>
      <x:c r="N24" s="225"/>
      <x:c r="O24" s="225"/>
      <x:c r="P24" s="212"/>
      <x:c r="Q24" s="212"/>
      <x:c r="R24" s="212"/>
      <x:c r="S24" s="212"/>
      <x:c r="T24" s="212"/>
      <x:c r="U24" s="212"/>
      <x:c r="V24" s="237"/>
      <x:c r="W24" s="1"/>
      <x:c r="X24" s="1"/>
      <x:c r="Y24" s="1"/>
      <x:c r="Z24" s="1"/>
      <x:c r="AA24" s="1"/>
      <x:c r="AB24" s="1"/>
      <x:c r="AC24" s="1"/>
      <x:c r="AD24" s="1"/>
    </x:row>
    <x:row r="25" ht="28" customHeight="1">
      <x:c r="A25" s="222"/>
      <x:c r="B25" s="212"/>
      <x:c r="C25" s="212"/>
      <x:c r="D25" s="225"/>
      <x:c r="E25" s="225"/>
      <x:c r="F25" s="228" t="str">
        <x:f>IF(B25="","",IFERROR(D25/E25,0))</x:f>
      </x:c>
      <x:c r="G25" s="225"/>
      <x:c r="H25" s="228" t="str">
        <x:f>IF(B25="","",IFERROR(G25/D25,0))</x:f>
      </x:c>
      <x:c r="I25" s="212"/>
      <x:c r="J25" s="212"/>
      <x:c r="K25" s="228" t="str">
        <x:f>IF(B25="","",IFERROR(J25/I25,0))</x:f>
      </x:c>
      <x:c r="L25" s="225"/>
      <x:c r="M25" s="228" t="str">
        <x:f>IF(B25="","",IFERROR(L25/D25,0))</x:f>
      </x:c>
      <x:c r="N25" s="225"/>
      <x:c r="O25" s="225"/>
      <x:c r="P25" s="212"/>
      <x:c r="Q25" s="212"/>
      <x:c r="R25" s="212"/>
      <x:c r="S25" s="212"/>
      <x:c r="T25" s="212"/>
      <x:c r="U25" s="212"/>
      <x:c r="V25" s="237"/>
      <x:c r="W25" s="1"/>
      <x:c r="X25" s="1"/>
      <x:c r="Y25" s="1"/>
      <x:c r="Z25" s="1"/>
      <x:c r="AA25" s="1"/>
      <x:c r="AB25" s="1"/>
      <x:c r="AC25" s="1"/>
      <x:c r="AD25" s="1"/>
    </x:row>
    <x:row r="26" ht="28" customHeight="1">
      <x:c r="A26" s="222"/>
      <x:c r="B26" s="212"/>
      <x:c r="C26" s="212"/>
      <x:c r="D26" s="225"/>
      <x:c r="E26" s="225"/>
      <x:c r="F26" s="228" t="str">
        <x:f>IF(B26="","",IFERROR(D26/E26,0))</x:f>
      </x:c>
      <x:c r="G26" s="225"/>
      <x:c r="H26" s="228" t="str">
        <x:f>IF(B26="","",IFERROR(G26/D26,0))</x:f>
      </x:c>
      <x:c r="I26" s="212"/>
      <x:c r="J26" s="212"/>
      <x:c r="K26" s="228" t="str">
        <x:f>IF(B26="","",IFERROR(J26/I26,0))</x:f>
      </x:c>
      <x:c r="L26" s="225"/>
      <x:c r="M26" s="228" t="str">
        <x:f>IF(B26="","",IFERROR(L26/D26,0))</x:f>
      </x:c>
      <x:c r="N26" s="225"/>
      <x:c r="O26" s="225"/>
      <x:c r="P26" s="212"/>
      <x:c r="Q26" s="212"/>
      <x:c r="R26" s="212"/>
      <x:c r="S26" s="212"/>
      <x:c r="T26" s="212"/>
      <x:c r="U26" s="212"/>
      <x:c r="V26" s="237"/>
      <x:c r="W26" s="1"/>
      <x:c r="X26" s="1"/>
      <x:c r="Y26" s="1"/>
      <x:c r="Z26" s="1"/>
      <x:c r="AA26" s="1"/>
      <x:c r="AB26" s="1"/>
      <x:c r="AC26" s="1"/>
      <x:c r="AD26" s="1"/>
    </x:row>
    <x:row r="27" ht="28" customHeight="1">
      <x:c r="A27" s="222"/>
      <x:c r="B27" s="212"/>
      <x:c r="C27" s="212"/>
      <x:c r="D27" s="225"/>
      <x:c r="E27" s="225"/>
      <x:c r="F27" s="228" t="str">
        <x:f>IF(B27="","",IFERROR(D27/E27,0))</x:f>
      </x:c>
      <x:c r="G27" s="225"/>
      <x:c r="H27" s="228" t="str">
        <x:f>IF(B27="","",IFERROR(G27/D27,0))</x:f>
      </x:c>
      <x:c r="I27" s="212"/>
      <x:c r="J27" s="212"/>
      <x:c r="K27" s="228" t="str">
        <x:f>IF(B27="","",IFERROR(J27/I27,0))</x:f>
      </x:c>
      <x:c r="L27" s="225"/>
      <x:c r="M27" s="228" t="str">
        <x:f>IF(B27="","",IFERROR(L27/D27,0))</x:f>
      </x:c>
      <x:c r="N27" s="225"/>
      <x:c r="O27" s="225"/>
      <x:c r="P27" s="212"/>
      <x:c r="Q27" s="212"/>
      <x:c r="R27" s="212"/>
      <x:c r="S27" s="212"/>
      <x:c r="T27" s="212"/>
      <x:c r="U27" s="212"/>
      <x:c r="V27" s="237"/>
      <x:c r="W27" s="1"/>
      <x:c r="X27" s="1"/>
      <x:c r="Y27" s="1"/>
      <x:c r="Z27" s="1"/>
      <x:c r="AA27" s="1"/>
      <x:c r="AB27" s="1"/>
      <x:c r="AC27" s="1"/>
      <x:c r="AD27" s="1"/>
    </x:row>
    <x:row r="28" ht="28" customHeight="1">
      <x:c r="A28" s="222"/>
      <x:c r="B28" s="212"/>
      <x:c r="C28" s="212"/>
      <x:c r="D28" s="225"/>
      <x:c r="E28" s="225"/>
      <x:c r="F28" s="228" t="str">
        <x:f>IF(B28="","",IFERROR(D28/E28,0))</x:f>
      </x:c>
      <x:c r="G28" s="225"/>
      <x:c r="H28" s="228" t="str">
        <x:f>IF(B28="","",IFERROR(G28/D28,0))</x:f>
      </x:c>
      <x:c r="I28" s="212"/>
      <x:c r="J28" s="212"/>
      <x:c r="K28" s="228" t="str">
        <x:f>IF(B28="","",IFERROR(J28/I28,0))</x:f>
      </x:c>
      <x:c r="L28" s="225"/>
      <x:c r="M28" s="228" t="str">
        <x:f>IF(B28="","",IFERROR(L28/D28,0))</x:f>
      </x:c>
      <x:c r="N28" s="225"/>
      <x:c r="O28" s="225"/>
      <x:c r="P28" s="212"/>
      <x:c r="Q28" s="212"/>
      <x:c r="R28" s="212"/>
      <x:c r="S28" s="212"/>
      <x:c r="T28" s="212"/>
      <x:c r="U28" s="212"/>
      <x:c r="V28" s="237"/>
      <x:c r="W28" s="1"/>
      <x:c r="X28" s="1"/>
      <x:c r="Y28" s="1"/>
      <x:c r="Z28" s="1"/>
      <x:c r="AA28" s="1"/>
      <x:c r="AB28" s="1"/>
      <x:c r="AC28" s="1"/>
      <x:c r="AD28" s="1"/>
    </x:row>
    <x:row r="29" ht="28" customHeight="1">
      <x:c r="A29" s="222"/>
      <x:c r="B29" s="212"/>
      <x:c r="C29" s="212"/>
      <x:c r="D29" s="225"/>
      <x:c r="E29" s="225"/>
      <x:c r="F29" s="228" t="str">
        <x:f>IF(B29="","",IFERROR(D29/E29,0))</x:f>
      </x:c>
      <x:c r="G29" s="225"/>
      <x:c r="H29" s="228" t="str">
        <x:f>IF(B29="","",IFERROR(G29/D29,0))</x:f>
      </x:c>
      <x:c r="I29" s="212"/>
      <x:c r="J29" s="212"/>
      <x:c r="K29" s="228" t="str">
        <x:f>IF(B29="","",IFERROR(J29/I29,0))</x:f>
      </x:c>
      <x:c r="L29" s="225"/>
      <x:c r="M29" s="228" t="str">
        <x:f>IF(B29="","",IFERROR(L29/D29,0))</x:f>
      </x:c>
      <x:c r="N29" s="225"/>
      <x:c r="O29" s="225"/>
      <x:c r="P29" s="212"/>
      <x:c r="Q29" s="212"/>
      <x:c r="R29" s="212"/>
      <x:c r="S29" s="212"/>
      <x:c r="T29" s="212"/>
      <x:c r="U29" s="212"/>
      <x:c r="V29" s="237"/>
      <x:c r="W29" s="1"/>
      <x:c r="X29" s="1"/>
      <x:c r="Y29" s="1"/>
      <x:c r="Z29" s="1"/>
      <x:c r="AA29" s="1"/>
      <x:c r="AB29" s="1"/>
      <x:c r="AC29" s="1"/>
      <x:c r="AD29" s="1"/>
    </x:row>
    <x:row r="30" ht="28" customHeight="1">
      <x:c r="A30" s="222"/>
      <x:c r="B30" s="212"/>
      <x:c r="C30" s="212"/>
      <x:c r="D30" s="225"/>
      <x:c r="E30" s="225"/>
      <x:c r="F30" s="228" t="str">
        <x:f>IF(B30="","",IFERROR(D30/E30,0))</x:f>
      </x:c>
      <x:c r="G30" s="225"/>
      <x:c r="H30" s="228" t="str">
        <x:f>IF(B30="","",IFERROR(G30/D30,0))</x:f>
      </x:c>
      <x:c r="I30" s="212"/>
      <x:c r="J30" s="212"/>
      <x:c r="K30" s="228" t="str">
        <x:f>IF(B30="","",IFERROR(J30/I30,0))</x:f>
      </x:c>
      <x:c r="L30" s="225"/>
      <x:c r="M30" s="228" t="str">
        <x:f>IF(B30="","",IFERROR(L30/D30,0))</x:f>
      </x:c>
      <x:c r="N30" s="225"/>
      <x:c r="O30" s="225"/>
      <x:c r="P30" s="212"/>
      <x:c r="Q30" s="212"/>
      <x:c r="R30" s="212"/>
      <x:c r="S30" s="212"/>
      <x:c r="T30" s="212"/>
      <x:c r="U30" s="212"/>
      <x:c r="V30" s="237"/>
      <x:c r="W30" s="1"/>
      <x:c r="X30" s="1"/>
      <x:c r="Y30" s="1"/>
      <x:c r="Z30" s="1"/>
      <x:c r="AA30" s="1"/>
      <x:c r="AB30" s="1"/>
      <x:c r="AC30" s="1"/>
      <x:c r="AD30" s="1"/>
    </x:row>
    <x:row r="31" ht="28" customHeight="1">
      <x:c r="A31" s="222"/>
      <x:c r="B31" s="212"/>
      <x:c r="C31" s="212"/>
      <x:c r="D31" s="225"/>
      <x:c r="E31" s="225"/>
      <x:c r="F31" s="228" t="str">
        <x:f>IF(B31="","",IFERROR(D31/E31,0))</x:f>
      </x:c>
      <x:c r="G31" s="225"/>
      <x:c r="H31" s="228" t="str">
        <x:f>IF(B31="","",IFERROR(G31/D31,0))</x:f>
      </x:c>
      <x:c r="I31" s="212"/>
      <x:c r="J31" s="212"/>
      <x:c r="K31" s="228" t="str">
        <x:f>IF(B31="","",IFERROR(J31/I31,0))</x:f>
      </x:c>
      <x:c r="L31" s="225"/>
      <x:c r="M31" s="228" t="str">
        <x:f>IF(B31="","",IFERROR(L31/D31,0))</x:f>
      </x:c>
      <x:c r="N31" s="225"/>
      <x:c r="O31" s="225"/>
      <x:c r="P31" s="212"/>
      <x:c r="Q31" s="212"/>
      <x:c r="R31" s="212"/>
      <x:c r="S31" s="212"/>
      <x:c r="T31" s="212"/>
      <x:c r="U31" s="212"/>
      <x:c r="V31" s="237"/>
      <x:c r="W31" s="1"/>
      <x:c r="X31" s="1"/>
      <x:c r="Y31" s="1"/>
      <x:c r="Z31" s="1"/>
      <x:c r="AA31" s="1"/>
      <x:c r="AB31" s="1"/>
      <x:c r="AC31" s="1"/>
      <x:c r="AD31" s="1"/>
    </x:row>
    <x:row r="32" ht="28" customHeight="1">
      <x:c r="A32" s="222"/>
      <x:c r="B32" s="212"/>
      <x:c r="C32" s="212"/>
      <x:c r="D32" s="225"/>
      <x:c r="E32" s="225"/>
      <x:c r="F32" s="228" t="str">
        <x:f>IF(B32="","",IFERROR(D32/E32,0))</x:f>
      </x:c>
      <x:c r="G32" s="225"/>
      <x:c r="H32" s="228" t="str">
        <x:f>IF(B32="","",IFERROR(G32/D32,0))</x:f>
      </x:c>
      <x:c r="I32" s="212"/>
      <x:c r="J32" s="212"/>
      <x:c r="K32" s="228" t="str">
        <x:f>IF(B32="","",IFERROR(J32/I32,0))</x:f>
      </x:c>
      <x:c r="L32" s="225"/>
      <x:c r="M32" s="228" t="str">
        <x:f>IF(B32="","",IFERROR(L32/D32,0))</x:f>
      </x:c>
      <x:c r="N32" s="225"/>
      <x:c r="O32" s="225"/>
      <x:c r="P32" s="212"/>
      <x:c r="Q32" s="212"/>
      <x:c r="R32" s="212"/>
      <x:c r="S32" s="212"/>
      <x:c r="T32" s="212"/>
      <x:c r="U32" s="212"/>
      <x:c r="V32" s="237"/>
      <x:c r="W32" s="1"/>
      <x:c r="X32" s="1"/>
      <x:c r="Y32" s="1"/>
      <x:c r="Z32" s="1"/>
      <x:c r="AA32" s="1"/>
      <x:c r="AB32" s="1"/>
      <x:c r="AC32" s="1"/>
      <x:c r="AD32" s="1"/>
    </x:row>
    <x:row r="33" ht="28" customHeight="1">
      <x:c r="A33" s="222"/>
      <x:c r="B33" s="212"/>
      <x:c r="C33" s="212"/>
      <x:c r="D33" s="225"/>
      <x:c r="E33" s="225"/>
      <x:c r="F33" s="228" t="str">
        <x:f>IF(B33="","",IFERROR(D33/E33,0))</x:f>
      </x:c>
      <x:c r="G33" s="225"/>
      <x:c r="H33" s="228" t="str">
        <x:f>IF(B33="","",IFERROR(G33/D33,0))</x:f>
      </x:c>
      <x:c r="I33" s="212"/>
      <x:c r="J33" s="212"/>
      <x:c r="K33" s="228" t="str">
        <x:f>IF(B33="","",IFERROR(J33/I33,0))</x:f>
      </x:c>
      <x:c r="L33" s="225"/>
      <x:c r="M33" s="228" t="str">
        <x:f>IF(B33="","",IFERROR(L33/D33,0))</x:f>
      </x:c>
      <x:c r="N33" s="225"/>
      <x:c r="O33" s="225"/>
      <x:c r="P33" s="212"/>
      <x:c r="Q33" s="212"/>
      <x:c r="R33" s="212"/>
      <x:c r="S33" s="212"/>
      <x:c r="T33" s="212"/>
      <x:c r="U33" s="212"/>
      <x:c r="V33" s="237"/>
      <x:c r="W33" s="1"/>
      <x:c r="X33" s="1"/>
      <x:c r="Y33" s="1"/>
      <x:c r="Z33" s="1"/>
      <x:c r="AA33" s="1"/>
      <x:c r="AB33" s="1"/>
      <x:c r="AC33" s="1"/>
      <x:c r="AD33" s="1"/>
    </x:row>
    <x:row r="34" ht="28" customHeight="1">
      <x:c r="A34" s="222"/>
      <x:c r="B34" s="212"/>
      <x:c r="C34" s="212"/>
      <x:c r="D34" s="225"/>
      <x:c r="E34" s="225"/>
      <x:c r="F34" s="228" t="str">
        <x:f>IF(B34="","",IFERROR(D34/E34,0))</x:f>
      </x:c>
      <x:c r="G34" s="225"/>
      <x:c r="H34" s="228" t="str">
        <x:f>IF(B34="","",IFERROR(G34/D34,0))</x:f>
      </x:c>
      <x:c r="I34" s="212"/>
      <x:c r="J34" s="212"/>
      <x:c r="K34" s="228" t="str">
        <x:f>IF(B34="","",IFERROR(J34/I34,0))</x:f>
      </x:c>
      <x:c r="L34" s="225"/>
      <x:c r="M34" s="228" t="str">
        <x:f>IF(B34="","",IFERROR(L34/D34,0))</x:f>
      </x:c>
      <x:c r="N34" s="225"/>
      <x:c r="O34" s="225"/>
      <x:c r="P34" s="212"/>
      <x:c r="Q34" s="212"/>
      <x:c r="R34" s="212"/>
      <x:c r="S34" s="212"/>
      <x:c r="T34" s="212"/>
      <x:c r="U34" s="212"/>
      <x:c r="V34" s="237"/>
      <x:c r="W34" s="1"/>
      <x:c r="X34" s="1"/>
      <x:c r="Y34" s="1"/>
      <x:c r="Z34" s="1"/>
      <x:c r="AA34" s="1"/>
      <x:c r="AB34" s="1"/>
      <x:c r="AC34" s="1"/>
      <x:c r="AD34" s="1"/>
    </x:row>
    <x:row r="35" ht="28" customHeight="1">
      <x:c r="A35" s="222"/>
      <x:c r="B35" s="212"/>
      <x:c r="C35" s="212"/>
      <x:c r="D35" s="225"/>
      <x:c r="E35" s="225"/>
      <x:c r="F35" s="228" t="str">
        <x:f>IF(B35="","",IFERROR(D35/E35,0))</x:f>
      </x:c>
      <x:c r="G35" s="225"/>
      <x:c r="H35" s="228" t="str">
        <x:f>IF(B35="","",IFERROR(G35/D35,0))</x:f>
      </x:c>
      <x:c r="I35" s="212"/>
      <x:c r="J35" s="212"/>
      <x:c r="K35" s="228" t="str">
        <x:f>IF(B35="","",IFERROR(J35/I35,0))</x:f>
      </x:c>
      <x:c r="L35" s="225"/>
      <x:c r="M35" s="228" t="str">
        <x:f>IF(B35="","",IFERROR(L35/D35,0))</x:f>
      </x:c>
      <x:c r="N35" s="225"/>
      <x:c r="O35" s="225"/>
      <x:c r="P35" s="212"/>
      <x:c r="Q35" s="212"/>
      <x:c r="R35" s="212"/>
      <x:c r="S35" s="212"/>
      <x:c r="T35" s="212"/>
      <x:c r="U35" s="212"/>
      <x:c r="V35" s="237"/>
      <x:c r="W35" s="1"/>
      <x:c r="X35" s="1"/>
      <x:c r="Y35" s="1"/>
      <x:c r="Z35" s="1"/>
      <x:c r="AA35" s="1"/>
      <x:c r="AB35" s="1"/>
      <x:c r="AC35" s="1"/>
      <x:c r="AD35" s="1"/>
    </x:row>
    <x:row r="36" ht="28" customHeight="1">
      <x:c r="A36" s="222"/>
      <x:c r="B36" s="212"/>
      <x:c r="C36" s="212"/>
      <x:c r="D36" s="225"/>
      <x:c r="E36" s="225"/>
      <x:c r="F36" s="228" t="str">
        <x:f>IF(B36="","",IFERROR(D36/E36,0))</x:f>
      </x:c>
      <x:c r="G36" s="225"/>
      <x:c r="H36" s="228" t="str">
        <x:f>IF(B36="","",IFERROR(G36/D36,0))</x:f>
      </x:c>
      <x:c r="I36" s="212"/>
      <x:c r="J36" s="212"/>
      <x:c r="K36" s="228" t="str">
        <x:f>IF(B36="","",IFERROR(J36/I36,0))</x:f>
      </x:c>
      <x:c r="L36" s="225"/>
      <x:c r="M36" s="228" t="str">
        <x:f>IF(B36="","",IFERROR(L36/D36,0))</x:f>
      </x:c>
      <x:c r="N36" s="225"/>
      <x:c r="O36" s="225"/>
      <x:c r="P36" s="212"/>
      <x:c r="Q36" s="212"/>
      <x:c r="R36" s="212"/>
      <x:c r="S36" s="212"/>
      <x:c r="T36" s="212"/>
      <x:c r="U36" s="212"/>
      <x:c r="V36" s="237"/>
      <x:c r="W36" s="1"/>
      <x:c r="X36" s="1"/>
      <x:c r="Y36" s="1"/>
      <x:c r="Z36" s="1"/>
      <x:c r="AA36" s="1"/>
      <x:c r="AB36" s="1"/>
      <x:c r="AC36" s="1"/>
      <x:c r="AD36" s="1"/>
    </x:row>
    <x:row r="37" ht="28" customHeight="1">
      <x:c r="A37" s="222"/>
      <x:c r="B37" s="212"/>
      <x:c r="C37" s="212"/>
      <x:c r="D37" s="225"/>
      <x:c r="E37" s="225"/>
      <x:c r="F37" s="228" t="str">
        <x:f>IF(B37="","",IFERROR(D37/E37,0))</x:f>
      </x:c>
      <x:c r="G37" s="225"/>
      <x:c r="H37" s="228" t="str">
        <x:f>IF(B37="","",IFERROR(G37/D37,0))</x:f>
      </x:c>
      <x:c r="I37" s="212"/>
      <x:c r="J37" s="212"/>
      <x:c r="K37" s="228" t="str">
        <x:f>IF(B37="","",IFERROR(J37/I37,0))</x:f>
      </x:c>
      <x:c r="L37" s="225"/>
      <x:c r="M37" s="228" t="str">
        <x:f>IF(B37="","",IFERROR(L37/D37,0))</x:f>
      </x:c>
      <x:c r="N37" s="225"/>
      <x:c r="O37" s="225"/>
      <x:c r="P37" s="212"/>
      <x:c r="Q37" s="212"/>
      <x:c r="R37" s="212"/>
      <x:c r="S37" s="212"/>
      <x:c r="T37" s="212"/>
      <x:c r="U37" s="212"/>
      <x:c r="V37" s="237"/>
      <x:c r="W37" s="1"/>
      <x:c r="X37" s="1"/>
      <x:c r="Y37" s="1"/>
      <x:c r="Z37" s="1"/>
      <x:c r="AA37" s="1"/>
      <x:c r="AB37" s="1"/>
      <x:c r="AC37" s="1"/>
      <x:c r="AD37" s="1"/>
    </x:row>
    <x:row r="38" ht="28" customHeight="1">
      <x:c r="A38" s="222"/>
      <x:c r="B38" s="212"/>
      <x:c r="C38" s="212"/>
      <x:c r="D38" s="225"/>
      <x:c r="E38" s="225"/>
      <x:c r="F38" s="228" t="str">
        <x:f>IF(B38="","",IFERROR(D38/E38,0))</x:f>
      </x:c>
      <x:c r="G38" s="225"/>
      <x:c r="H38" s="228" t="str">
        <x:f>IF(B38="","",IFERROR(G38/D38,0))</x:f>
      </x:c>
      <x:c r="I38" s="212"/>
      <x:c r="J38" s="212"/>
      <x:c r="K38" s="228" t="str">
        <x:f>IF(B38="","",IFERROR(J38/I38,0))</x:f>
      </x:c>
      <x:c r="L38" s="225"/>
      <x:c r="M38" s="228" t="str">
        <x:f>IF(B38="","",IFERROR(L38/D38,0))</x:f>
      </x:c>
      <x:c r="N38" s="225"/>
      <x:c r="O38" s="225"/>
      <x:c r="P38" s="212"/>
      <x:c r="Q38" s="212"/>
      <x:c r="R38" s="212"/>
      <x:c r="S38" s="212"/>
      <x:c r="T38" s="212"/>
      <x:c r="U38" s="212"/>
      <x:c r="V38" s="237"/>
      <x:c r="W38" s="1"/>
      <x:c r="X38" s="1"/>
      <x:c r="Y38" s="1"/>
      <x:c r="Z38" s="1"/>
      <x:c r="AA38" s="1"/>
      <x:c r="AB38" s="1"/>
      <x:c r="AC38" s="1"/>
      <x:c r="AD38" s="1"/>
    </x:row>
    <x:row r="39" ht="28" customHeight="1">
      <x:c r="A39" s="222"/>
      <x:c r="B39" s="212"/>
      <x:c r="C39" s="212"/>
      <x:c r="D39" s="225"/>
      <x:c r="E39" s="225"/>
      <x:c r="F39" s="228" t="str">
        <x:f>IF(B39="","",IFERROR(D39/E39,0))</x:f>
      </x:c>
      <x:c r="G39" s="225"/>
      <x:c r="H39" s="228" t="str">
        <x:f>IF(B39="","",IFERROR(G39/D39,0))</x:f>
      </x:c>
      <x:c r="I39" s="212"/>
      <x:c r="J39" s="212"/>
      <x:c r="K39" s="228" t="str">
        <x:f>IF(B39="","",IFERROR(J39/I39,0))</x:f>
      </x:c>
      <x:c r="L39" s="225"/>
      <x:c r="M39" s="228" t="str">
        <x:f>IF(B39="","",IFERROR(L39/D39,0))</x:f>
      </x:c>
      <x:c r="N39" s="225"/>
      <x:c r="O39" s="225"/>
      <x:c r="P39" s="212"/>
      <x:c r="Q39" s="212"/>
      <x:c r="R39" s="212"/>
      <x:c r="S39" s="212"/>
      <x:c r="T39" s="212"/>
      <x:c r="U39" s="212"/>
      <x:c r="V39" s="237"/>
      <x:c r="W39" s="1"/>
      <x:c r="X39" s="1"/>
      <x:c r="Y39" s="1"/>
      <x:c r="Z39" s="1"/>
      <x:c r="AA39" s="1"/>
      <x:c r="AB39" s="1"/>
      <x:c r="AC39" s="1"/>
      <x:c r="AD39" s="1"/>
    </x:row>
    <x:row r="40" ht="28" customHeight="1">
      <x:c r="A40" s="222"/>
      <x:c r="B40" s="212"/>
      <x:c r="C40" s="212"/>
      <x:c r="D40" s="225"/>
      <x:c r="E40" s="225"/>
      <x:c r="F40" s="228" t="str">
        <x:f>IF(B40="","",IFERROR(D40/E40,0))</x:f>
      </x:c>
      <x:c r="G40" s="225"/>
      <x:c r="H40" s="228" t="str">
        <x:f>IF(B40="","",IFERROR(G40/D40,0))</x:f>
      </x:c>
      <x:c r="I40" s="212"/>
      <x:c r="J40" s="212"/>
      <x:c r="K40" s="228" t="str">
        <x:f>IF(B40="","",IFERROR(J40/I40,0))</x:f>
      </x:c>
      <x:c r="L40" s="225"/>
      <x:c r="M40" s="228" t="str">
        <x:f>IF(B40="","",IFERROR(L40/D40,0))</x:f>
      </x:c>
      <x:c r="N40" s="225"/>
      <x:c r="O40" s="225"/>
      <x:c r="P40" s="212"/>
      <x:c r="Q40" s="212"/>
      <x:c r="R40" s="212"/>
      <x:c r="S40" s="212"/>
      <x:c r="T40" s="212"/>
      <x:c r="U40" s="212"/>
      <x:c r="V40" s="237"/>
      <x:c r="W40" s="1"/>
      <x:c r="X40" s="1"/>
      <x:c r="Y40" s="1"/>
      <x:c r="Z40" s="1"/>
      <x:c r="AA40" s="1"/>
      <x:c r="AB40" s="1"/>
      <x:c r="AC40" s="1"/>
      <x:c r="AD40" s="1"/>
    </x:row>
    <x:row r="41" ht="28" customHeight="1">
      <x:c r="A41" s="222"/>
      <x:c r="B41" s="212"/>
      <x:c r="C41" s="212"/>
      <x:c r="D41" s="225"/>
      <x:c r="E41" s="225"/>
      <x:c r="F41" s="228" t="str">
        <x:f>IF(B41="","",IFERROR(D41/E41,0))</x:f>
      </x:c>
      <x:c r="G41" s="225"/>
      <x:c r="H41" s="228" t="str">
        <x:f>IF(B41="","",IFERROR(G41/D41,0))</x:f>
      </x:c>
      <x:c r="I41" s="212"/>
      <x:c r="J41" s="212"/>
      <x:c r="K41" s="228" t="str">
        <x:f>IF(B41="","",IFERROR(J41/I41,0))</x:f>
      </x:c>
      <x:c r="L41" s="225"/>
      <x:c r="M41" s="228" t="str">
        <x:f>IF(B41="","",IFERROR(L41/D41,0))</x:f>
      </x:c>
      <x:c r="N41" s="225"/>
      <x:c r="O41" s="225"/>
      <x:c r="P41" s="212"/>
      <x:c r="Q41" s="212"/>
      <x:c r="R41" s="212"/>
      <x:c r="S41" s="212"/>
      <x:c r="T41" s="212"/>
      <x:c r="U41" s="212"/>
      <x:c r="V41" s="237"/>
      <x:c r="W41" s="1"/>
      <x:c r="X41" s="1"/>
      <x:c r="Y41" s="1"/>
      <x:c r="Z41" s="1"/>
      <x:c r="AA41" s="1"/>
      <x:c r="AB41" s="1"/>
      <x:c r="AC41" s="1"/>
      <x:c r="AD41" s="1"/>
    </x:row>
    <x:row r="42" ht="28" customHeight="1">
      <x:c r="A42" s="222"/>
      <x:c r="B42" s="212"/>
      <x:c r="C42" s="212"/>
      <x:c r="D42" s="225"/>
      <x:c r="E42" s="225"/>
      <x:c r="F42" s="228" t="str">
        <x:f>IF(B42="","",IFERROR(D42/E42,0))</x:f>
      </x:c>
      <x:c r="G42" s="225"/>
      <x:c r="H42" s="228" t="str">
        <x:f>IF(B42="","",IFERROR(G42/D42,0))</x:f>
      </x:c>
      <x:c r="I42" s="212"/>
      <x:c r="J42" s="212"/>
      <x:c r="K42" s="228" t="str">
        <x:f>IF(B42="","",IFERROR(J42/I42,0))</x:f>
      </x:c>
      <x:c r="L42" s="225"/>
      <x:c r="M42" s="228" t="str">
        <x:f>IF(B42="","",IFERROR(L42/D42,0))</x:f>
      </x:c>
      <x:c r="N42" s="225"/>
      <x:c r="O42" s="225"/>
      <x:c r="P42" s="212"/>
      <x:c r="Q42" s="212"/>
      <x:c r="R42" s="212"/>
      <x:c r="S42" s="212"/>
      <x:c r="T42" s="212"/>
      <x:c r="U42" s="212"/>
      <x:c r="V42" s="237"/>
      <x:c r="W42" s="1"/>
      <x:c r="X42" s="1"/>
      <x:c r="Y42" s="1"/>
      <x:c r="Z42" s="1"/>
      <x:c r="AA42" s="1"/>
      <x:c r="AB42" s="1"/>
      <x:c r="AC42" s="1"/>
      <x:c r="AD42" s="1"/>
    </x:row>
    <x:row r="43" ht="28" customHeight="1">
      <x:c r="A43" s="222"/>
      <x:c r="B43" s="212"/>
      <x:c r="C43" s="212"/>
      <x:c r="D43" s="225"/>
      <x:c r="E43" s="225"/>
      <x:c r="F43" s="228" t="str">
        <x:f>IF(B43="","",IFERROR(D43/E43,0))</x:f>
      </x:c>
      <x:c r="G43" s="225"/>
      <x:c r="H43" s="228" t="str">
        <x:f>IF(B43="","",IFERROR(G43/D43,0))</x:f>
      </x:c>
      <x:c r="I43" s="212"/>
      <x:c r="J43" s="212"/>
      <x:c r="K43" s="228" t="str">
        <x:f>IF(B43="","",IFERROR(J43/I43,0))</x:f>
      </x:c>
      <x:c r="L43" s="225"/>
      <x:c r="M43" s="228" t="str">
        <x:f>IF(B43="","",IFERROR(L43/D43,0))</x:f>
      </x:c>
      <x:c r="N43" s="225"/>
      <x:c r="O43" s="225"/>
      <x:c r="P43" s="212"/>
      <x:c r="Q43" s="212"/>
      <x:c r="R43" s="212"/>
      <x:c r="S43" s="212"/>
      <x:c r="T43" s="212"/>
      <x:c r="U43" s="212"/>
      <x:c r="V43" s="237"/>
      <x:c r="W43" s="1"/>
      <x:c r="X43" s="1"/>
      <x:c r="Y43" s="1"/>
      <x:c r="Z43" s="1"/>
      <x:c r="AA43" s="1"/>
      <x:c r="AB43" s="1"/>
      <x:c r="AC43" s="1"/>
      <x:c r="AD43" s="1"/>
    </x:row>
    <x:row r="44" ht="28" customHeight="1">
      <x:c r="A44" s="222"/>
      <x:c r="B44" s="212"/>
      <x:c r="C44" s="212"/>
      <x:c r="D44" s="225"/>
      <x:c r="E44" s="225"/>
      <x:c r="F44" s="228" t="str">
        <x:f>IF(B44="","",IFERROR(D44/E44,0))</x:f>
      </x:c>
      <x:c r="G44" s="225"/>
      <x:c r="H44" s="228" t="str">
        <x:f>IF(B44="","",IFERROR(G44/D44,0))</x:f>
      </x:c>
      <x:c r="I44" s="212"/>
      <x:c r="J44" s="212"/>
      <x:c r="K44" s="228" t="str">
        <x:f>IF(B44="","",IFERROR(J44/I44,0))</x:f>
      </x:c>
      <x:c r="L44" s="225"/>
      <x:c r="M44" s="228" t="str">
        <x:f>IF(B44="","",IFERROR(L44/D44,0))</x:f>
      </x:c>
      <x:c r="N44" s="225"/>
      <x:c r="O44" s="225"/>
      <x:c r="P44" s="212"/>
      <x:c r="Q44" s="212"/>
      <x:c r="R44" s="212"/>
      <x:c r="S44" s="212"/>
      <x:c r="T44" s="212"/>
      <x:c r="U44" s="212"/>
      <x:c r="V44" s="237"/>
      <x:c r="W44" s="1"/>
      <x:c r="X44" s="1"/>
      <x:c r="Y44" s="1"/>
      <x:c r="Z44" s="1"/>
      <x:c r="AA44" s="1"/>
      <x:c r="AB44" s="1"/>
      <x:c r="AC44" s="1"/>
      <x:c r="AD44" s="1"/>
    </x:row>
    <x:row r="45" ht="28" customHeight="1">
      <x:c r="A45" s="222"/>
      <x:c r="B45" s="212"/>
      <x:c r="C45" s="212"/>
      <x:c r="D45" s="225"/>
      <x:c r="E45" s="225"/>
      <x:c r="F45" s="228" t="str">
        <x:f>IF(B45="","",IFERROR(D45/E45,0))</x:f>
      </x:c>
      <x:c r="G45" s="225"/>
      <x:c r="H45" s="228" t="str">
        <x:f>IF(B45="","",IFERROR(G45/D45,0))</x:f>
      </x:c>
      <x:c r="I45" s="212"/>
      <x:c r="J45" s="212"/>
      <x:c r="K45" s="228" t="str">
        <x:f>IF(B45="","",IFERROR(J45/I45,0))</x:f>
      </x:c>
      <x:c r="L45" s="225"/>
      <x:c r="M45" s="228" t="str">
        <x:f>IF(B45="","",IFERROR(L45/D45,0))</x:f>
      </x:c>
      <x:c r="N45" s="225"/>
      <x:c r="O45" s="225"/>
      <x:c r="P45" s="212"/>
      <x:c r="Q45" s="212"/>
      <x:c r="R45" s="212"/>
      <x:c r="S45" s="212"/>
      <x:c r="T45" s="212"/>
      <x:c r="U45" s="212"/>
      <x:c r="V45" s="237"/>
      <x:c r="W45" s="1"/>
      <x:c r="X45" s="1"/>
      <x:c r="Y45" s="1"/>
      <x:c r="Z45" s="1"/>
      <x:c r="AA45" s="1"/>
      <x:c r="AB45" s="1"/>
      <x:c r="AC45" s="1"/>
      <x:c r="AD45" s="1"/>
    </x:row>
    <x:row r="46" ht="28" customHeight="1">
      <x:c r="A46" s="222"/>
      <x:c r="B46" s="212"/>
      <x:c r="C46" s="212"/>
      <x:c r="D46" s="225"/>
      <x:c r="E46" s="225"/>
      <x:c r="F46" s="228" t="str">
        <x:f>IF(B46="","",IFERROR(D46/E46,0))</x:f>
      </x:c>
      <x:c r="G46" s="225"/>
      <x:c r="H46" s="228" t="str">
        <x:f>IF(B46="","",IFERROR(G46/D46,0))</x:f>
      </x:c>
      <x:c r="I46" s="212"/>
      <x:c r="J46" s="212"/>
      <x:c r="K46" s="228" t="str">
        <x:f>IF(B46="","",IFERROR(J46/I46,0))</x:f>
      </x:c>
      <x:c r="L46" s="225"/>
      <x:c r="M46" s="228" t="str">
        <x:f>IF(B46="","",IFERROR(L46/D46,0))</x:f>
      </x:c>
      <x:c r="N46" s="225"/>
      <x:c r="O46" s="225"/>
      <x:c r="P46" s="212"/>
      <x:c r="Q46" s="212"/>
      <x:c r="R46" s="212"/>
      <x:c r="S46" s="212"/>
      <x:c r="T46" s="212"/>
      <x:c r="U46" s="212"/>
      <x:c r="V46" s="237"/>
      <x:c r="W46" s="1"/>
      <x:c r="X46" s="1"/>
      <x:c r="Y46" s="1"/>
      <x:c r="Z46" s="1"/>
      <x:c r="AA46" s="1"/>
      <x:c r="AB46" s="1"/>
      <x:c r="AC46" s="1"/>
      <x:c r="AD46" s="1"/>
    </x:row>
    <x:row r="47" ht="28" customHeight="1">
      <x:c r="A47" s="222"/>
      <x:c r="B47" s="212"/>
      <x:c r="C47" s="212"/>
      <x:c r="D47" s="225"/>
      <x:c r="E47" s="225"/>
      <x:c r="F47" s="228" t="str">
        <x:f>IF(B47="","",IFERROR(D47/E47,0))</x:f>
      </x:c>
      <x:c r="G47" s="225"/>
      <x:c r="H47" s="228" t="str">
        <x:f>IF(B47="","",IFERROR(G47/D47,0))</x:f>
      </x:c>
      <x:c r="I47" s="212"/>
      <x:c r="J47" s="212"/>
      <x:c r="K47" s="228" t="str">
        <x:f>IF(B47="","",IFERROR(J47/I47,0))</x:f>
      </x:c>
      <x:c r="L47" s="225"/>
      <x:c r="M47" s="228" t="str">
        <x:f>IF(B47="","",IFERROR(L47/D47,0))</x:f>
      </x:c>
      <x:c r="N47" s="225"/>
      <x:c r="O47" s="225"/>
      <x:c r="P47" s="212"/>
      <x:c r="Q47" s="212"/>
      <x:c r="R47" s="212"/>
      <x:c r="S47" s="212"/>
      <x:c r="T47" s="212"/>
      <x:c r="U47" s="212"/>
      <x:c r="V47" s="237"/>
      <x:c r="W47" s="1"/>
      <x:c r="X47" s="1"/>
      <x:c r="Y47" s="1"/>
      <x:c r="Z47" s="1"/>
      <x:c r="AA47" s="1"/>
      <x:c r="AB47" s="1"/>
      <x:c r="AC47" s="1"/>
      <x:c r="AD47" s="1"/>
    </x:row>
    <x:row r="48" ht="28" customHeight="1">
      <x:c r="A48" s="222"/>
      <x:c r="B48" s="212"/>
      <x:c r="C48" s="212"/>
      <x:c r="D48" s="225"/>
      <x:c r="E48" s="225"/>
      <x:c r="F48" s="228" t="str">
        <x:f>IF(B48="","",IFERROR(D48/E48,0))</x:f>
      </x:c>
      <x:c r="G48" s="225"/>
      <x:c r="H48" s="228" t="str">
        <x:f>IF(B48="","",IFERROR(G48/D48,0))</x:f>
      </x:c>
      <x:c r="I48" s="212"/>
      <x:c r="J48" s="212"/>
      <x:c r="K48" s="228" t="str">
        <x:f>IF(B48="","",IFERROR(J48/I48,0))</x:f>
      </x:c>
      <x:c r="L48" s="225"/>
      <x:c r="M48" s="228" t="str">
        <x:f>IF(B48="","",IFERROR(L48/D48,0))</x:f>
      </x:c>
      <x:c r="N48" s="225"/>
      <x:c r="O48" s="225"/>
      <x:c r="P48" s="212"/>
      <x:c r="Q48" s="212"/>
      <x:c r="R48" s="212"/>
      <x:c r="S48" s="212"/>
      <x:c r="T48" s="212"/>
      <x:c r="U48" s="212"/>
      <x:c r="V48" s="237"/>
      <x:c r="W48" s="1"/>
      <x:c r="X48" s="1"/>
      <x:c r="Y48" s="1"/>
      <x:c r="Z48" s="1"/>
      <x:c r="AA48" s="1"/>
      <x:c r="AB48" s="1"/>
      <x:c r="AC48" s="1"/>
      <x:c r="AD48" s="1"/>
    </x:row>
    <x:row r="49" ht="28" customHeight="1">
      <x:c r="A49" s="222"/>
      <x:c r="B49" s="212"/>
      <x:c r="C49" s="212"/>
      <x:c r="D49" s="225"/>
      <x:c r="E49" s="225"/>
      <x:c r="F49" s="228" t="str">
        <x:f>IF(B49="","",IFERROR(D49/E49,0))</x:f>
      </x:c>
      <x:c r="G49" s="225"/>
      <x:c r="H49" s="228" t="str">
        <x:f>IF(B49="","",IFERROR(G49/D49,0))</x:f>
      </x:c>
      <x:c r="I49" s="212"/>
      <x:c r="J49" s="212"/>
      <x:c r="K49" s="228" t="str">
        <x:f>IF(B49="","",IFERROR(J49/I49,0))</x:f>
      </x:c>
      <x:c r="L49" s="225"/>
      <x:c r="M49" s="228" t="str">
        <x:f>IF(B49="","",IFERROR(L49/D49,0))</x:f>
      </x:c>
      <x:c r="N49" s="225"/>
      <x:c r="O49" s="225"/>
      <x:c r="P49" s="212"/>
      <x:c r="Q49" s="212"/>
      <x:c r="R49" s="212"/>
      <x:c r="S49" s="212"/>
      <x:c r="T49" s="212"/>
      <x:c r="U49" s="212"/>
      <x:c r="V49" s="237"/>
      <x:c r="W49" s="1"/>
      <x:c r="X49" s="1"/>
      <x:c r="Y49" s="1"/>
      <x:c r="Z49" s="1"/>
      <x:c r="AA49" s="1"/>
      <x:c r="AB49" s="1"/>
      <x:c r="AC49" s="1"/>
      <x:c r="AD49" s="1"/>
    </x:row>
    <x:row r="50" ht="28" customHeight="1">
      <x:c r="A50" s="222"/>
      <x:c r="B50" s="212"/>
      <x:c r="C50" s="212"/>
      <x:c r="D50" s="225"/>
      <x:c r="E50" s="225"/>
      <x:c r="F50" s="228" t="str">
        <x:f>IF(B50="","",IFERROR(D50/E50,0))</x:f>
      </x:c>
      <x:c r="G50" s="225"/>
      <x:c r="H50" s="228" t="str">
        <x:f>IF(B50="","",IFERROR(G50/D50,0))</x:f>
      </x:c>
      <x:c r="I50" s="212"/>
      <x:c r="J50" s="212"/>
      <x:c r="K50" s="228" t="str">
        <x:f>IF(B50="","",IFERROR(J50/I50,0))</x:f>
      </x:c>
      <x:c r="L50" s="225"/>
      <x:c r="M50" s="228" t="str">
        <x:f>IF(B50="","",IFERROR(L50/D50,0))</x:f>
      </x:c>
      <x:c r="N50" s="225"/>
      <x:c r="O50" s="225"/>
      <x:c r="P50" s="212"/>
      <x:c r="Q50" s="212"/>
      <x:c r="R50" s="212"/>
      <x:c r="S50" s="212"/>
      <x:c r="T50" s="212"/>
      <x:c r="U50" s="212"/>
      <x:c r="V50" s="237"/>
      <x:c r="W50" s="1"/>
      <x:c r="X50" s="1"/>
      <x:c r="Y50" s="1"/>
      <x:c r="Z50" s="1"/>
      <x:c r="AA50" s="1"/>
      <x:c r="AB50" s="1"/>
      <x:c r="AC50" s="1"/>
      <x:c r="AD50" s="1"/>
    </x:row>
    <x:row r="51" ht="28" customHeight="1">
      <x:c r="A51" s="222"/>
      <x:c r="B51" s="212"/>
      <x:c r="C51" s="212"/>
      <x:c r="D51" s="225"/>
      <x:c r="E51" s="225"/>
      <x:c r="F51" s="228" t="str">
        <x:f>IF(B51="","",IFERROR(D51/E51,0))</x:f>
      </x:c>
      <x:c r="G51" s="225"/>
      <x:c r="H51" s="228" t="str">
        <x:f>IF(B51="","",IFERROR(G51/D51,0))</x:f>
      </x:c>
      <x:c r="I51" s="212"/>
      <x:c r="J51" s="212"/>
      <x:c r="K51" s="228" t="str">
        <x:f>IF(B51="","",IFERROR(J51/I51,0))</x:f>
      </x:c>
      <x:c r="L51" s="225"/>
      <x:c r="M51" s="228" t="str">
        <x:f>IF(B51="","",IFERROR(L51/D51,0))</x:f>
      </x:c>
      <x:c r="N51" s="225"/>
      <x:c r="O51" s="225"/>
      <x:c r="P51" s="212"/>
      <x:c r="Q51" s="212"/>
      <x:c r="R51" s="212"/>
      <x:c r="S51" s="212"/>
      <x:c r="T51" s="212"/>
      <x:c r="U51" s="212"/>
      <x:c r="V51" s="237"/>
      <x:c r="W51" s="1"/>
      <x:c r="X51" s="1"/>
      <x:c r="Y51" s="1"/>
      <x:c r="Z51" s="1"/>
      <x:c r="AA51" s="1"/>
      <x:c r="AB51" s="1"/>
      <x:c r="AC51" s="1"/>
      <x:c r="AD51" s="1"/>
    </x:row>
    <x:row r="52" ht="28" customHeight="1">
      <x:c r="A52" s="222"/>
      <x:c r="B52" s="212"/>
      <x:c r="C52" s="212"/>
      <x:c r="D52" s="225"/>
      <x:c r="E52" s="225"/>
      <x:c r="F52" s="228" t="str">
        <x:f>IF(B52="","",IFERROR(D52/E52,0))</x:f>
      </x:c>
      <x:c r="G52" s="225"/>
      <x:c r="H52" s="228" t="str">
        <x:f>IF(B52="","",IFERROR(G52/D52,0))</x:f>
      </x:c>
      <x:c r="I52" s="212"/>
      <x:c r="J52" s="212"/>
      <x:c r="K52" s="228" t="str">
        <x:f>IF(B52="","",IFERROR(J52/I52,0))</x:f>
      </x:c>
      <x:c r="L52" s="225"/>
      <x:c r="M52" s="228" t="str">
        <x:f>IF(B52="","",IFERROR(L52/D52,0))</x:f>
      </x:c>
      <x:c r="N52" s="225"/>
      <x:c r="O52" s="225"/>
      <x:c r="P52" s="212"/>
      <x:c r="Q52" s="212"/>
      <x:c r="R52" s="212"/>
      <x:c r="S52" s="212"/>
      <x:c r="T52" s="212"/>
      <x:c r="U52" s="212"/>
      <x:c r="V52" s="237"/>
      <x:c r="W52" s="1"/>
      <x:c r="X52" s="1"/>
      <x:c r="Y52" s="1"/>
      <x:c r="Z52" s="1"/>
      <x:c r="AA52" s="1"/>
      <x:c r="AB52" s="1"/>
      <x:c r="AC52" s="1"/>
      <x:c r="AD52" s="1"/>
    </x:row>
    <x:row r="53" ht="28" customHeight="1">
      <x:c r="A53" s="222"/>
      <x:c r="B53" s="212"/>
      <x:c r="C53" s="212"/>
      <x:c r="D53" s="225"/>
      <x:c r="E53" s="225"/>
      <x:c r="F53" s="228" t="str">
        <x:f>IF(B53="","",IFERROR(D53/E53,0))</x:f>
      </x:c>
      <x:c r="G53" s="225"/>
      <x:c r="H53" s="228" t="str">
        <x:f>IF(B53="","",IFERROR(G53/D53,0))</x:f>
      </x:c>
      <x:c r="I53" s="212"/>
      <x:c r="J53" s="212"/>
      <x:c r="K53" s="228" t="str">
        <x:f>IF(B53="","",IFERROR(J53/I53,0))</x:f>
      </x:c>
      <x:c r="L53" s="225"/>
      <x:c r="M53" s="228" t="str">
        <x:f>IF(B53="","",IFERROR(L53/D53,0))</x:f>
      </x:c>
      <x:c r="N53" s="225"/>
      <x:c r="O53" s="225"/>
      <x:c r="P53" s="212"/>
      <x:c r="Q53" s="212"/>
      <x:c r="R53" s="212"/>
      <x:c r="S53" s="212"/>
      <x:c r="T53" s="212"/>
      <x:c r="U53" s="212"/>
      <x:c r="V53" s="237"/>
      <x:c r="W53" s="1"/>
      <x:c r="X53" s="1"/>
      <x:c r="Y53" s="1"/>
      <x:c r="Z53" s="1"/>
      <x:c r="AA53" s="1"/>
      <x:c r="AB53" s="1"/>
      <x:c r="AC53" s="1"/>
      <x:c r="AD53" s="1"/>
    </x:row>
    <x:row r="54" ht="28" customHeight="1">
      <x:c r="A54" s="222"/>
      <x:c r="B54" s="212"/>
      <x:c r="C54" s="212"/>
      <x:c r="D54" s="225"/>
      <x:c r="E54" s="225"/>
      <x:c r="F54" s="228" t="str">
        <x:f>IF(B54="","",IFERROR(D54/E54,0))</x:f>
      </x:c>
      <x:c r="G54" s="225"/>
      <x:c r="H54" s="228" t="str">
        <x:f>IF(B54="","",IFERROR(G54/D54,0))</x:f>
      </x:c>
      <x:c r="I54" s="212"/>
      <x:c r="J54" s="212"/>
      <x:c r="K54" s="228" t="str">
        <x:f>IF(B54="","",IFERROR(J54/I54,0))</x:f>
      </x:c>
      <x:c r="L54" s="225"/>
      <x:c r="M54" s="228" t="str">
        <x:f>IF(B54="","",IFERROR(L54/D54,0))</x:f>
      </x:c>
      <x:c r="N54" s="225"/>
      <x:c r="O54" s="225"/>
      <x:c r="P54" s="212"/>
      <x:c r="Q54" s="212"/>
      <x:c r="R54" s="212"/>
      <x:c r="S54" s="212"/>
      <x:c r="T54" s="212"/>
      <x:c r="U54" s="212"/>
      <x:c r="V54" s="237"/>
      <x:c r="W54" s="1"/>
      <x:c r="X54" s="1"/>
      <x:c r="Y54" s="1"/>
      <x:c r="Z54" s="1"/>
      <x:c r="AA54" s="1"/>
      <x:c r="AB54" s="1"/>
      <x:c r="AC54" s="1"/>
      <x:c r="AD54" s="1"/>
    </x:row>
    <x:row r="55" ht="28" customHeight="1">
      <x:c r="A55" s="223"/>
      <x:c r="B55" s="214"/>
      <x:c r="C55" s="214"/>
      <x:c r="D55" s="226"/>
      <x:c r="E55" s="226"/>
      <x:c r="F55" s="229" t="str">
        <x:f>IF(B55="","",IFERROR(D55/E55,0))</x:f>
      </x:c>
      <x:c r="G55" s="226"/>
      <x:c r="H55" s="229" t="str">
        <x:f>IF(B55="","",IFERROR(G55/D55,0))</x:f>
      </x:c>
      <x:c r="I55" s="214"/>
      <x:c r="J55" s="214"/>
      <x:c r="K55" s="229" t="str">
        <x:f>IF(B55="","",IFERROR(J55/I55,0))</x:f>
      </x:c>
      <x:c r="L55" s="226"/>
      <x:c r="M55" s="229" t="str">
        <x:f>IF(B55="","",IFERROR(L55/D55,0))</x:f>
      </x:c>
      <x:c r="N55" s="226"/>
      <x:c r="O55" s="226"/>
      <x:c r="P55" s="214"/>
      <x:c r="Q55" s="214"/>
      <x:c r="R55" s="214"/>
      <x:c r="S55" s="214"/>
      <x:c r="T55" s="214"/>
      <x:c r="U55" s="214"/>
      <x:c r="V55" s="238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V2"/>
    <x:mergeCell ref="A3:V3"/>
  </x:mergeCells>
  <x:conditionalFormatting sqref="P6:P55">
    <x:cfRule type="containsText" dxfId="5" priority="1" operator="containsText" text="正常"/>
    <x:cfRule type="containsText" dxfId="6" priority="2" operator="containsText" text="已完成"/>
    <x:cfRule type="containsText" dxfId="7" priority="3" operator="containsText" text="关注"/>
    <x:cfRule type="containsText" dxfId="8" priority="4" operator="containsText" text="预警"/>
    <x:cfRule type="containsText" dxfId="9" priority="5" operator="containsText" text="逾期"/>
  </x:conditionalFormatting>
  <x:dataValidations count="1">
    <x:dataValidation type="list" sqref="P6:P55">
      <x:formula1>"正常,关注,预警"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24" hidden="0" customWidth="1"/>
    <x:col min="4" max="4" width="13" hidden="0" customWidth="1"/>
    <x:col min="5" max="5" width="10" hidden="0" customWidth="1"/>
    <x:col min="6" max="6" width="13" hidden="0" customWidth="1"/>
    <x:col min="7" max="7" width="12" hidden="0" customWidth="1"/>
    <x:col min="8" max="8" width="12" hidden="0" customWidth="1"/>
    <x:col min="9" max="9" width="18" hidden="0" customWidth="1"/>
    <x:col min="10" max="10" width="14" hidden="0" customWidth="1"/>
    <x:col min="11" max="11" width="32" hidden="0" customWidth="1"/>
    <x:col min="12" max="12" width="32" hidden="0" customWidth="1"/>
    <x:col min="13" max="13" width="14" hidden="0" customWidth="1"/>
    <x:col min="14" max="14" width="22" hidden="0" customWidth="1"/>
    <x:col min="15" max="15" width="15" hidden="0" customWidth="1"/>
    <x:col min="16" max="16" width="20" hidden="0" customWidth="1"/>
  </x:cols>
  <x:sheetData>
    <x:row r="1" ht="34" customHeight="1">
      <x:c r="A1" s="16" t="str">
        <x:v>管理数据采集
只呈报经营保障与管理闭环，不堆叠日常行政明细</x:v>
      </x:c>
      <x:c r="B1" s="17" t="str">
        <x:v>管理数据采集
只呈报经营保障与管理闭环，不堆叠日常行政明细</x:v>
      </x:c>
      <x:c r="C1" s="17" t="str">
        <x:v>管理数据采集
只呈报经营保障与管理闭环，不堆叠日常行政明细</x:v>
      </x:c>
      <x:c r="D1" s="17" t="str">
        <x:v>管理数据采集
只呈报经营保障与管理闭环，不堆叠日常行政明细</x:v>
      </x:c>
      <x:c r="E1" s="17" t="str">
        <x:v>管理数据采集
只呈报经营保障与管理闭环，不堆叠日常行政明细</x:v>
      </x:c>
      <x:c r="F1" s="17" t="str">
        <x:v>管理数据采集
只呈报经营保障与管理闭环，不堆叠日常行政明细</x:v>
      </x:c>
      <x:c r="G1" s="17" t="str">
        <x:v>管理数据采集
只呈报经营保障与管理闭环，不堆叠日常行政明细</x:v>
      </x:c>
      <x:c r="H1" s="17" t="str">
        <x:v>管理数据采集
只呈报经营保障与管理闭环，不堆叠日常行政明细</x:v>
      </x:c>
      <x:c r="I1" s="17" t="str">
        <x:v>管理数据采集
只呈报经营保障与管理闭环，不堆叠日常行政明细</x:v>
      </x:c>
      <x:c r="J1" s="17" t="str">
        <x:v>管理数据采集
只呈报经营保障与管理闭环，不堆叠日常行政明细</x:v>
      </x:c>
      <x:c r="K1" s="17" t="str">
        <x:v>管理数据采集
只呈报经营保障与管理闭环，不堆叠日常行政明细</x:v>
      </x:c>
      <x:c r="L1" s="17" t="str">
        <x:v>管理数据采集
只呈报经营保障与管理闭环，不堆叠日常行政明细</x:v>
      </x:c>
      <x:c r="M1" s="17" t="str">
        <x:v>管理数据采集
只呈报经营保障与管理闭环，不堆叠日常行政明细</x:v>
      </x:c>
      <x:c r="N1" s="17" t="str">
        <x:v>管理数据采集
只呈报经营保障与管理闭环，不堆叠日常行政明细</x:v>
      </x:c>
      <x:c r="O1" s="17" t="str">
        <x:v>管理数据采集
只呈报经营保障与管理闭环，不堆叠日常行政明细</x:v>
      </x:c>
      <x:c r="P1" s="18" t="str">
        <x:v>管理数据采集
只呈报经营保障与管理闭环，不堆叠日常行政明细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管理数据采集
只呈报经营保障与管理闭环，不堆叠日常行政明细</x:v>
      </x:c>
      <x:c r="B2" s="20" t="str">
        <x:v>管理数据采集
只呈报经营保障与管理闭环，不堆叠日常行政明细</x:v>
      </x:c>
      <x:c r="C2" s="20" t="str">
        <x:v>管理数据采集
只呈报经营保障与管理闭环，不堆叠日常行政明细</x:v>
      </x:c>
      <x:c r="D2" s="20" t="str">
        <x:v>管理数据采集
只呈报经营保障与管理闭环，不堆叠日常行政明细</x:v>
      </x:c>
      <x:c r="E2" s="20" t="str">
        <x:v>管理数据采集
只呈报经营保障与管理闭环，不堆叠日常行政明细</x:v>
      </x:c>
      <x:c r="F2" s="20" t="str">
        <x:v>管理数据采集
只呈报经营保障与管理闭环，不堆叠日常行政明细</x:v>
      </x:c>
      <x:c r="G2" s="20" t="str">
        <x:v>管理数据采集
只呈报经营保障与管理闭环，不堆叠日常行政明细</x:v>
      </x:c>
      <x:c r="H2" s="20" t="str">
        <x:v>管理数据采集
只呈报经营保障与管理闭环，不堆叠日常行政明细</x:v>
      </x:c>
      <x:c r="I2" s="20" t="str">
        <x:v>管理数据采集
只呈报经营保障与管理闭环，不堆叠日常行政明细</x:v>
      </x:c>
      <x:c r="J2" s="20" t="str">
        <x:v>管理数据采集
只呈报经营保障与管理闭环，不堆叠日常行政明细</x:v>
      </x:c>
      <x:c r="K2" s="20" t="str">
        <x:v>管理数据采集
只呈报经营保障与管理闭环，不堆叠日常行政明细</x:v>
      </x:c>
      <x:c r="L2" s="20" t="str">
        <x:v>管理数据采集
只呈报经营保障与管理闭环，不堆叠日常行政明细</x:v>
      </x:c>
      <x:c r="M2" s="20" t="str">
        <x:v>管理数据采集
只呈报经营保障与管理闭环，不堆叠日常行政明细</x:v>
      </x:c>
      <x:c r="N2" s="20" t="str">
        <x:v>管理数据采集
只呈报经营保障与管理闭环，不堆叠日常行政明细</x:v>
      </x:c>
      <x:c r="O2" s="20" t="str">
        <x:v>管理数据采集
只呈报经营保障与管理闭环，不堆叠日常行政明细</x:v>
      </x:c>
      <x:c r="P2" s="21" t="str">
        <x:v>管理数据采集
只呈报经营保障与管理闭环，不堆叠日常行政明细</x:v>
      </x:c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每个指标一行。数值字段只填数字，单位单独选择；控制方向用于自动判断状态。详细迟到、请假等仅在达到异常阈值时写入事项风控。</x:v>
      </x:c>
      <x:c r="B3" s="31" t="str">
        <x:v>每个指标一行。数值字段只填数字，单位单独选择；控制方向用于自动判断状态。详细迟到、请假等仅在达到异常阈值时写入事项风控。</x:v>
      </x:c>
      <x:c r="C3" s="31" t="str">
        <x:v>每个指标一行。数值字段只填数字，单位单独选择；控制方向用于自动判断状态。详细迟到、请假等仅在达到异常阈值时写入事项风控。</x:v>
      </x:c>
      <x:c r="D3" s="31" t="str">
        <x:v>每个指标一行。数值字段只填数字，单位单独选择；控制方向用于自动判断状态。详细迟到、请假等仅在达到异常阈值时写入事项风控。</x:v>
      </x:c>
      <x:c r="E3" s="31" t="str">
        <x:v>每个指标一行。数值字段只填数字，单位单独选择；控制方向用于自动判断状态。详细迟到、请假等仅在达到异常阈值时写入事项风控。</x:v>
      </x:c>
      <x:c r="F3" s="31" t="str">
        <x:v>每个指标一行。数值字段只填数字，单位单独选择；控制方向用于自动判断状态。详细迟到、请假等仅在达到异常阈值时写入事项风控。</x:v>
      </x:c>
      <x:c r="G3" s="31" t="str">
        <x:v>每个指标一行。数值字段只填数字，单位单独选择；控制方向用于自动判断状态。详细迟到、请假等仅在达到异常阈值时写入事项风控。</x:v>
      </x:c>
      <x:c r="H3" s="31" t="str">
        <x:v>每个指标一行。数值字段只填数字，单位单独选择；控制方向用于自动判断状态。详细迟到、请假等仅在达到异常阈值时写入事项风控。</x:v>
      </x:c>
      <x:c r="I3" s="31" t="str">
        <x:v>每个指标一行。数值字段只填数字，单位单独选择；控制方向用于自动判断状态。详细迟到、请假等仅在达到异常阈值时写入事项风控。</x:v>
      </x:c>
      <x:c r="J3" s="31" t="str">
        <x:v>每个指标一行。数值字段只填数字，单位单独选择；控制方向用于自动判断状态。详细迟到、请假等仅在达到异常阈值时写入事项风控。</x:v>
      </x:c>
      <x:c r="K3" s="31" t="str">
        <x:v>每个指标一行。数值字段只填数字，单位单独选择；控制方向用于自动判断状态。详细迟到、请假等仅在达到异常阈值时写入事项风控。</x:v>
      </x:c>
      <x:c r="L3" s="31" t="str">
        <x:v>每个指标一行。数值字段只填数字，单位单独选择；控制方向用于自动判断状态。详细迟到、请假等仅在达到异常阈值时写入事项风控。</x:v>
      </x:c>
      <x:c r="M3" s="31" t="str">
        <x:v>每个指标一行。数值字段只填数字，单位单独选择；控制方向用于自动判断状态。详细迟到、请假等仅在达到异常阈值时写入事项风控。</x:v>
      </x:c>
      <x:c r="N3" s="31" t="str">
        <x:v>每个指标一行。数值字段只填数字，单位单独选择；控制方向用于自动判断状态。详细迟到、请假等仅在达到异常阈值时写入事项风控。</x:v>
      </x:c>
      <x:c r="O3" s="31" t="str">
        <x:v>每个指标一行。数值字段只填数字，单位单独选择；控制方向用于自动判断状态。详细迟到、请假等仅在达到异常阈值时写入事项风控。</x:v>
      </x:c>
      <x:c r="P3" s="32" t="str">
        <x:v>每个指标一行。数值字段只填数字，单位单独选择；控制方向用于自动判断状态。详细迟到、请假等仅在达到异常阈值时写入事项风控。</x:v>
      </x:c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34" customHeight="1">
      <x:c r="A5" s="129" t="str">
        <x:v>报告日期</x:v>
      </x:c>
      <x:c r="B5" s="130" t="str">
        <x:v>管理分类</x:v>
      </x:c>
      <x:c r="C5" s="130" t="str">
        <x:v>指标</x:v>
      </x:c>
      <x:c r="D5" s="130" t="str">
        <x:v>当前值</x:v>
      </x:c>
      <x:c r="E5" s="130" t="str">
        <x:v>单位</x:v>
      </x:c>
      <x:c r="F5" s="130" t="str">
        <x:v>控制值</x:v>
      </x:c>
      <x:c r="G5" s="130" t="str">
        <x:v>控制方向</x:v>
      </x:c>
      <x:c r="H5" s="130" t="str">
        <x:v>状态</x:v>
      </x:c>
      <x:c r="I5" s="130" t="str">
        <x:v>责任部门</x:v>
      </x:c>
      <x:c r="J5" s="130" t="str">
        <x:v>负责人</x:v>
      </x:c>
      <x:c r="K5" s="130" t="str">
        <x:v>差异/原因</x:v>
      </x:c>
      <x:c r="L5" s="130" t="str">
        <x:v>下一步动作</x:v>
      </x:c>
      <x:c r="M5" s="130" t="str">
        <x:v>截止日期</x:v>
      </x:c>
      <x:c r="N5" s="130" t="str">
        <x:v>数据来源</x:v>
      </x:c>
      <x:c r="O5" s="130" t="str">
        <x:v>数据提供人</x:v>
      </x:c>
      <x:c r="P5" s="131" t="str">
        <x:v>更新时间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 ht="28" customHeight="1">
      <x:c r="A6" s="221" t="n">
        <x:v>46242</x:v>
      </x:c>
      <x:c r="B6" s="210" t="str">
        <x:v>事项闭环</x:v>
      </x:c>
      <x:c r="C6" s="210" t="str">
        <x:v>重点任务完成率</x:v>
      </x:c>
      <x:c r="D6" s="210" t="n">
        <x:v>0.875</x:v>
      </x:c>
      <x:c r="E6" s="210" t="str">
        <x:v>%</x:v>
      </x:c>
      <x:c r="F6" s="210" t="n">
        <x:v>0.9</x:v>
      </x:c>
      <x:c r="G6" s="210" t="str">
        <x:v>&gt;=</x:v>
      </x:c>
      <x:c r="H6" s="218" t="str">
        <x:f>IF(C6="","",IF(G6="&gt;=",IF(D6&gt;=F6,"正常","关注"),IF(G6="&lt;=",IF(D6&lt;=F6,"正常","关注"),"人工判断")))</x:f>
        <x:v>关注</x:v>
      </x:c>
      <x:c r="I6" s="210" t="str">
        <x:v>总经办</x:v>
      </x:c>
      <x:c r="J6" s="210" t="str">
        <x:v>综合办</x:v>
      </x:c>
      <x:c r="K6" s="210" t="str">
        <x:v>12项重点事项中9项按期，3项需关注</x:v>
      </x:c>
      <x:c r="L6" s="210" t="str">
        <x:v>逐项催办并更新节点</x:v>
      </x:c>
      <x:c r="M6" s="239" t="n">
        <x:v>46243</x:v>
      </x:c>
      <x:c r="N6" s="210" t="str">
        <x:v>重点事项台账</x:v>
      </x:c>
      <x:c r="O6" s="210" t="str">
        <x:v>综合办</x:v>
      </x:c>
      <x:c r="P6" s="236" t="n">
        <x:v>46242.01388888889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28" customHeight="1">
      <x:c r="A7" s="222" t="n">
        <x:v>46242</x:v>
      </x:c>
      <x:c r="B7" s="212" t="str">
        <x:v>事项闭环</x:v>
      </x:c>
      <x:c r="C7" s="212" t="str">
        <x:v>逾期事项</x:v>
      </x:c>
      <x:c r="D7" s="212" t="n">
        <x:v>1</x:v>
      </x:c>
      <x:c r="E7" s="212" t="str">
        <x:v>项</x:v>
      </x:c>
      <x:c r="F7" s="212" t="n">
        <x:v>0</x:v>
      </x:c>
      <x:c r="G7" s="212" t="str">
        <x:v>&lt;=</x:v>
      </x:c>
      <x:c r="H7" s="219" t="str">
        <x:f>IF(C7="","",IF(G7="&gt;=",IF(D7&gt;=F7,"正常","关注"),IF(G7="&lt;=",IF(D7&lt;=F7,"正常","关注"),"人工判断")))</x:f>
        <x:v>关注</x:v>
      </x:c>
      <x:c r="I7" s="212" t="str">
        <x:v>总经办</x:v>
      </x:c>
      <x:c r="J7" s="212" t="str">
        <x:v>综合办</x:v>
      </x:c>
      <x:c r="K7" s="212" t="str">
        <x:v>3PP超龄库存处理节点存在逾期</x:v>
      </x:c>
      <x:c r="L7" s="212" t="str">
        <x:v>明确责任人与闭环时间</x:v>
      </x:c>
      <x:c r="M7" s="240" t="n">
        <x:v>46243</x:v>
      </x:c>
      <x:c r="N7" s="212" t="str">
        <x:v>重点事项台账</x:v>
      </x:c>
      <x:c r="O7" s="212" t="str">
        <x:v>综合办</x:v>
      </x:c>
      <x:c r="P7" s="237" t="n">
        <x:v>46242.01388888889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28" customHeight="1">
      <x:c r="A8" s="222" t="n">
        <x:v>46242</x:v>
      </x:c>
      <x:c r="B8" s="212" t="str">
        <x:v>人事保障</x:v>
      </x:c>
      <x:c r="C8" s="212" t="str">
        <x:v>关键岗位缺编</x:v>
      </x:c>
      <x:c r="D8" s="212" t="n">
        <x:v>8</x:v>
      </x:c>
      <x:c r="E8" s="212" t="str">
        <x:v>人</x:v>
      </x:c>
      <x:c r="F8" s="212" t="n">
        <x:v>5</x:v>
      </x:c>
      <x:c r="G8" s="212" t="str">
        <x:v>&lt;=</x:v>
      </x:c>
      <x:c r="H8" s="219" t="str">
        <x:f>IF(C8="","",IF(G8="&gt;=",IF(D8&gt;=F8,"正常","关注"),IF(G8="&lt;=",IF(D8&lt;=F8,"正常","关注"),"人工判断")))</x:f>
        <x:v>关注</x:v>
      </x:c>
      <x:c r="I8" s="212" t="str">
        <x:v>综合办/人事</x:v>
      </x:c>
      <x:c r="J8" s="212" t="str">
        <x:v>李婧岚</x:v>
      </x:c>
      <x:c r="K8" s="212" t="str">
        <x:v>APR门店缺编5人，职能及电商缺编3人</x:v>
      </x:c>
      <x:c r="L8" s="212" t="str">
        <x:v>优先保障重点门店和关键岗位</x:v>
      </x:c>
      <x:c r="M8" s="240" t="n">
        <x:v>46249</x:v>
      </x:c>
      <x:c r="N8" s="212" t="str">
        <x:v>人事台账</x:v>
      </x:c>
      <x:c r="O8" s="212" t="str">
        <x:v>人事</x:v>
      </x:c>
      <x:c r="P8" s="237" t="n">
        <x:v>46242.01458333333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28" customHeight="1">
      <x:c r="A9" s="222" t="n">
        <x:v>46242</x:v>
      </x:c>
      <x:c r="B9" s="212" t="str">
        <x:v>资金财务</x:v>
      </x:c>
      <x:c r="C9" s="212" t="str">
        <x:v>逾期应收</x:v>
      </x:c>
      <x:c r="D9" s="212" t="n">
        <x:v>420000</x:v>
      </x:c>
      <x:c r="E9" s="212" t="str">
        <x:v>元</x:v>
      </x:c>
      <x:c r="F9" s="212" t="n">
        <x:v>300000</x:v>
      </x:c>
      <x:c r="G9" s="212" t="str">
        <x:v>&lt;=</x:v>
      </x:c>
      <x:c r="H9" s="219" t="str">
        <x:f>IF(C9="","",IF(G9="&gt;=",IF(D9&gt;=F9,"正常","关注"),IF(G9="&lt;=",IF(D9&lt;=F9,"正常","关注"),"人工判断")))</x:f>
        <x:v>关注</x:v>
      </x:c>
      <x:c r="I9" s="212" t="str">
        <x:v>财务</x:v>
      </x:c>
      <x:c r="J9" s="212" t="str">
        <x:v>财务负责人</x:v>
      </x:c>
      <x:c r="K9" s="212" t="str">
        <x:v>两家渠道回款日期待明确</x:v>
      </x:c>
      <x:c r="L9" s="212" t="str">
        <x:v>锁定渠道并确认回款节点</x:v>
      </x:c>
      <x:c r="M9" s="240" t="n">
        <x:v>46244</x:v>
      </x:c>
      <x:c r="N9" s="212" t="str">
        <x:v>财务台账</x:v>
      </x:c>
      <x:c r="O9" s="212" t="str">
        <x:v>财务</x:v>
      </x:c>
      <x:c r="P9" s="237" t="n">
        <x:v>46242.01527777778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28" customHeight="1">
      <x:c r="A10" s="222" t="n">
        <x:v>46242</x:v>
      </x:c>
      <x:c r="B10" s="212" t="str">
        <x:v>商务采购</x:v>
      </x:c>
      <x:c r="C10" s="212" t="str">
        <x:v>返利待确认</x:v>
      </x:c>
      <x:c r="D10" s="212" t="n">
        <x:v>310000</x:v>
      </x:c>
      <x:c r="E10" s="212" t="str">
        <x:v>元</x:v>
      </x:c>
      <x:c r="F10" s="212" t="n">
        <x:v>200000</x:v>
      </x:c>
      <x:c r="G10" s="212" t="str">
        <x:v>&lt;=</x:v>
      </x:c>
      <x:c r="H10" s="219" t="str">
        <x:f>IF(C10="","",IF(G10="&gt;=",IF(D10&gt;=F10,"正常","关注"),IF(G10="&lt;=",IF(D10&lt;=F10,"正常","关注"),"人工判断")))</x:f>
        <x:v>关注</x:v>
      </x:c>
      <x:c r="I10" s="212" t="str">
        <x:v>采销/商务</x:v>
      </x:c>
      <x:c r="J10" s="212" t="str">
        <x:v>王文学</x:v>
      </x:c>
      <x:c r="K10" s="212" t="str">
        <x:v>供应商材料及台账待更新</x:v>
      </x:c>
      <x:c r="L10" s="212" t="str">
        <x:v>完成返利台账和到账节点确认</x:v>
      </x:c>
      <x:c r="M10" s="240" t="n">
        <x:v>46246</x:v>
      </x:c>
      <x:c r="N10" s="212" t="str">
        <x:v>返利台账</x:v>
      </x:c>
      <x:c r="O10" s="212" t="str">
        <x:v>商务</x:v>
      </x:c>
      <x:c r="P10" s="237" t="n">
        <x:v>46242.01597222222</x:v>
      </x:c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 ht="28" customHeight="1">
      <x:c r="A11" s="222" t="n">
        <x:v>46242</x:v>
      </x:c>
      <x:c r="B11" s="212" t="str">
        <x:v>库存管理</x:v>
      </x:c>
      <x:c r="C11" s="212" t="str">
        <x:v>低库存SKU</x:v>
      </x:c>
      <x:c r="D11" s="212" t="n">
        <x:v>18</x:v>
      </x:c>
      <x:c r="E11" s="212" t="str">
        <x:v>个</x:v>
      </x:c>
      <x:c r="F11" s="212" t="n">
        <x:v>10</x:v>
      </x:c>
      <x:c r="G11" s="212" t="str">
        <x:v>&lt;=</x:v>
      </x:c>
      <x:c r="H11" s="219" t="str">
        <x:f>IF(C11="","",IF(G11="&gt;=",IF(D11&gt;=F11,"正常","关注"),IF(G11="&lt;=",IF(D11&lt;=F11,"正常","关注"),"人工判断")))</x:f>
        <x:v>关注</x:v>
      </x:c>
      <x:c r="I11" s="212" t="str">
        <x:v>采销/业务</x:v>
      </x:c>
      <x:c r="J11" s="212" t="str">
        <x:v>王文学</x:v>
      </x:c>
      <x:c r="K11" s="212" t="str">
        <x:v>重点型号需补货或跨店调剂</x:v>
      </x:c>
      <x:c r="L11" s="212" t="str">
        <x:v>形成低库存SKU处置清单</x:v>
      </x:c>
      <x:c r="M11" s="240" t="n">
        <x:v>46243</x:v>
      </x:c>
      <x:c r="N11" s="212" t="str">
        <x:v>库存分析表</x:v>
      </x:c>
      <x:c r="O11" s="212" t="str">
        <x:v>采销</x:v>
      </x:c>
      <x:c r="P11" s="237" t="n">
        <x:v>46242.01666666667</x:v>
      </x:c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28" customHeight="1">
      <x:c r="A12" s="222" t="n">
        <x:v>46242</x:v>
      </x:c>
      <x:c r="B12" s="212" t="str">
        <x:v>平台运营</x:v>
      </x:c>
      <x:c r="C12" s="212" t="str">
        <x:v>异常订单</x:v>
      </x:c>
      <x:c r="D12" s="212" t="n">
        <x:v>6</x:v>
      </x:c>
      <x:c r="E12" s="212" t="str">
        <x:v>单</x:v>
      </x:c>
      <x:c r="F12" s="212" t="n">
        <x:v>3</x:v>
      </x:c>
      <x:c r="G12" s="212" t="str">
        <x:v>&lt;=</x:v>
      </x:c>
      <x:c r="H12" s="219" t="str">
        <x:f>IF(C12="","",IF(G12="&gt;=",IF(D12&gt;=F12,"正常","关注"),IF(G12="&lt;=",IF(D12&lt;=F12,"正常","关注"),"人工判断")))</x:f>
        <x:v>关注</x:v>
      </x:c>
      <x:c r="I12" s="212" t="str">
        <x:v>Apple电商</x:v>
      </x:c>
      <x:c r="J12" s="212" t="str">
        <x:v>邵文昌</x:v>
      </x:c>
      <x:c r="K12" s="212" t="str">
        <x:v>涉及国补、审计和平台举证</x:v>
      </x:c>
      <x:c r="L12" s="212" t="str">
        <x:v>完成举证并反馈平台节点</x:v>
      </x:c>
      <x:c r="M12" s="240" t="n">
        <x:v>46242</x:v>
      </x:c>
      <x:c r="N12" s="212" t="str">
        <x:v>平台异常订单表</x:v>
      </x:c>
      <x:c r="O12" s="212" t="str">
        <x:v>赵驰</x:v>
      </x:c>
      <x:c r="P12" s="237" t="n">
        <x:v>46242.01736111111</x:v>
      </x:c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 ht="28" customHeight="1">
      <x:c r="A13" s="222" t="n">
        <x:v>46242</x:v>
      </x:c>
      <x:c r="B13" s="212" t="str">
        <x:v>数据质量</x:v>
      </x:c>
      <x:c r="C13" s="212" t="str">
        <x:v>部门数据提交率</x:v>
      </x:c>
      <x:c r="D13" s="212" t="n">
        <x:v>1</x:v>
      </x:c>
      <x:c r="E13" s="212" t="str">
        <x:v>%</x:v>
      </x:c>
      <x:c r="F13" s="212" t="n">
        <x:v>1</x:v>
      </x:c>
      <x:c r="G13" s="212" t="str">
        <x:v>&gt;=</x:v>
      </x:c>
      <x:c r="H13" s="219" t="str">
        <x:f>IF(C13="","",IF(G13="&gt;=",IF(D13&gt;=F13,"正常","关注"),IF(G13="&lt;=",IF(D13&lt;=F13,"正常","关注"),"人工判断")))</x:f>
        <x:v>正常</x:v>
      </x:c>
      <x:c r="I13" s="212" t="str">
        <x:v>总经办</x:v>
      </x:c>
      <x:c r="J13" s="212" t="str">
        <x:v>综合办</x:v>
      </x:c>
      <x:c r="K13" s="212" t="str">
        <x:v>四个经营板块均已提交</x:v>
      </x:c>
      <x:c r="L13" s="212" t="str">
        <x:v>保持08:20前完成汇总</x:v>
      </x:c>
      <x:c r="M13" s="240" t="n">
        <x:v>46242</x:v>
      </x:c>
      <x:c r="N13" s="212" t="str">
        <x:v>上传登记</x:v>
      </x:c>
      <x:c r="O13" s="212" t="str">
        <x:v>综合办</x:v>
      </x:c>
      <x:c r="P13" s="237" t="n">
        <x:v>46242.018055555556</x:v>
      </x:c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 ht="28" customHeight="1">
      <x:c r="A14" s="222"/>
      <x:c r="B14" s="212"/>
      <x:c r="C14" s="212"/>
      <x:c r="D14" s="212"/>
      <x:c r="E14" s="212"/>
      <x:c r="F14" s="212"/>
      <x:c r="G14" s="212"/>
      <x:c r="H14" s="219" t="str">
        <x:f>IF(C14="","",IF(G14="&gt;=",IF(D14&gt;=F14,"正常","关注"),IF(G14="&lt;=",IF(D14&lt;=F14,"正常","关注"),"人工判断")))</x:f>
      </x:c>
      <x:c r="I14" s="212"/>
      <x:c r="J14" s="212"/>
      <x:c r="K14" s="212"/>
      <x:c r="L14" s="212"/>
      <x:c r="M14" s="240"/>
      <x:c r="N14" s="212"/>
      <x:c r="O14" s="212"/>
      <x:c r="P14" s="237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 ht="28" customHeight="1">
      <x:c r="A15" s="222"/>
      <x:c r="B15" s="212"/>
      <x:c r="C15" s="212"/>
      <x:c r="D15" s="212"/>
      <x:c r="E15" s="212"/>
      <x:c r="F15" s="212"/>
      <x:c r="G15" s="212"/>
      <x:c r="H15" s="219" t="str">
        <x:f>IF(C15="","",IF(G15="&gt;=",IF(D15&gt;=F15,"正常","关注"),IF(G15="&lt;=",IF(D15&lt;=F15,"正常","关注"),"人工判断")))</x:f>
      </x:c>
      <x:c r="I15" s="212"/>
      <x:c r="J15" s="212"/>
      <x:c r="K15" s="212"/>
      <x:c r="L15" s="212"/>
      <x:c r="M15" s="240"/>
      <x:c r="N15" s="212"/>
      <x:c r="O15" s="212"/>
      <x:c r="P15" s="237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 ht="28" customHeight="1">
      <x:c r="A16" s="222"/>
      <x:c r="B16" s="212"/>
      <x:c r="C16" s="212"/>
      <x:c r="D16" s="212"/>
      <x:c r="E16" s="212"/>
      <x:c r="F16" s="212"/>
      <x:c r="G16" s="212"/>
      <x:c r="H16" s="219" t="str">
        <x:f>IF(C16="","",IF(G16="&gt;=",IF(D16&gt;=F16,"正常","关注"),IF(G16="&lt;=",IF(D16&lt;=F16,"正常","关注"),"人工判断")))</x:f>
      </x:c>
      <x:c r="I16" s="212"/>
      <x:c r="J16" s="212"/>
      <x:c r="K16" s="212"/>
      <x:c r="L16" s="212"/>
      <x:c r="M16" s="240"/>
      <x:c r="N16" s="212"/>
      <x:c r="O16" s="212"/>
      <x:c r="P16" s="237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 ht="28" customHeight="1">
      <x:c r="A17" s="222"/>
      <x:c r="B17" s="212"/>
      <x:c r="C17" s="212"/>
      <x:c r="D17" s="212"/>
      <x:c r="E17" s="212"/>
      <x:c r="F17" s="212"/>
      <x:c r="G17" s="212"/>
      <x:c r="H17" s="219" t="str">
        <x:f>IF(C17="","",IF(G17="&gt;=",IF(D17&gt;=F17,"正常","关注"),IF(G17="&lt;=",IF(D17&lt;=F17,"正常","关注"),"人工判断")))</x:f>
      </x:c>
      <x:c r="I17" s="212"/>
      <x:c r="J17" s="212"/>
      <x:c r="K17" s="212"/>
      <x:c r="L17" s="212"/>
      <x:c r="M17" s="240"/>
      <x:c r="N17" s="212"/>
      <x:c r="O17" s="212"/>
      <x:c r="P17" s="237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 ht="28" customHeight="1">
      <x:c r="A18" s="222"/>
      <x:c r="B18" s="212"/>
      <x:c r="C18" s="212"/>
      <x:c r="D18" s="212"/>
      <x:c r="E18" s="212"/>
      <x:c r="F18" s="212"/>
      <x:c r="G18" s="212"/>
      <x:c r="H18" s="219" t="str">
        <x:f>IF(C18="","",IF(G18="&gt;=",IF(D18&gt;=F18,"正常","关注"),IF(G18="&lt;=",IF(D18&lt;=F18,"正常","关注"),"人工判断")))</x:f>
      </x:c>
      <x:c r="I18" s="212"/>
      <x:c r="J18" s="212"/>
      <x:c r="K18" s="212"/>
      <x:c r="L18" s="212"/>
      <x:c r="M18" s="240"/>
      <x:c r="N18" s="212"/>
      <x:c r="O18" s="212"/>
      <x:c r="P18" s="237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 ht="28" customHeight="1">
      <x:c r="A19" s="222"/>
      <x:c r="B19" s="212"/>
      <x:c r="C19" s="212"/>
      <x:c r="D19" s="212"/>
      <x:c r="E19" s="212"/>
      <x:c r="F19" s="212"/>
      <x:c r="G19" s="212"/>
      <x:c r="H19" s="219" t="str">
        <x:f>IF(C19="","",IF(G19="&gt;=",IF(D19&gt;=F19,"正常","关注"),IF(G19="&lt;=",IF(D19&lt;=F19,"正常","关注"),"人工判断")))</x:f>
      </x:c>
      <x:c r="I19" s="212"/>
      <x:c r="J19" s="212"/>
      <x:c r="K19" s="212"/>
      <x:c r="L19" s="212"/>
      <x:c r="M19" s="240"/>
      <x:c r="N19" s="212"/>
      <x:c r="O19" s="212"/>
      <x:c r="P19" s="237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 ht="28" customHeight="1">
      <x:c r="A20" s="222"/>
      <x:c r="B20" s="212"/>
      <x:c r="C20" s="212"/>
      <x:c r="D20" s="212"/>
      <x:c r="E20" s="212"/>
      <x:c r="F20" s="212"/>
      <x:c r="G20" s="212"/>
      <x:c r="H20" s="219" t="str">
        <x:f>IF(C20="","",IF(G20="&gt;=",IF(D20&gt;=F20,"正常","关注"),IF(G20="&lt;=",IF(D20&lt;=F20,"正常","关注"),"人工判断")))</x:f>
      </x:c>
      <x:c r="I20" s="212"/>
      <x:c r="J20" s="212"/>
      <x:c r="K20" s="212"/>
      <x:c r="L20" s="212"/>
      <x:c r="M20" s="240"/>
      <x:c r="N20" s="212"/>
      <x:c r="O20" s="212"/>
      <x:c r="P20" s="237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 ht="28" customHeight="1">
      <x:c r="A21" s="222"/>
      <x:c r="B21" s="212"/>
      <x:c r="C21" s="212"/>
      <x:c r="D21" s="212"/>
      <x:c r="E21" s="212"/>
      <x:c r="F21" s="212"/>
      <x:c r="G21" s="212"/>
      <x:c r="H21" s="219" t="str">
        <x:f>IF(C21="","",IF(G21="&gt;=",IF(D21&gt;=F21,"正常","关注"),IF(G21="&lt;=",IF(D21&lt;=F21,"正常","关注"),"人工判断")))</x:f>
      </x:c>
      <x:c r="I21" s="212"/>
      <x:c r="J21" s="212"/>
      <x:c r="K21" s="212"/>
      <x:c r="L21" s="212"/>
      <x:c r="M21" s="240"/>
      <x:c r="N21" s="212"/>
      <x:c r="O21" s="212"/>
      <x:c r="P21" s="237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 ht="28" customHeight="1">
      <x:c r="A22" s="222"/>
      <x:c r="B22" s="212"/>
      <x:c r="C22" s="212"/>
      <x:c r="D22" s="212"/>
      <x:c r="E22" s="212"/>
      <x:c r="F22" s="212"/>
      <x:c r="G22" s="212"/>
      <x:c r="H22" s="219" t="str">
        <x:f>IF(C22="","",IF(G22="&gt;=",IF(D22&gt;=F22,"正常","关注"),IF(G22="&lt;=",IF(D22&lt;=F22,"正常","关注"),"人工判断")))</x:f>
      </x:c>
      <x:c r="I22" s="212"/>
      <x:c r="J22" s="212"/>
      <x:c r="K22" s="212"/>
      <x:c r="L22" s="212"/>
      <x:c r="M22" s="240"/>
      <x:c r="N22" s="212"/>
      <x:c r="O22" s="212"/>
      <x:c r="P22" s="237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 ht="28" customHeight="1">
      <x:c r="A23" s="222"/>
      <x:c r="B23" s="212"/>
      <x:c r="C23" s="212"/>
      <x:c r="D23" s="212"/>
      <x:c r="E23" s="212"/>
      <x:c r="F23" s="212"/>
      <x:c r="G23" s="212"/>
      <x:c r="H23" s="219" t="str">
        <x:f>IF(C23="","",IF(G23="&gt;=",IF(D23&gt;=F23,"正常","关注"),IF(G23="&lt;=",IF(D23&lt;=F23,"正常","关注"),"人工判断")))</x:f>
      </x:c>
      <x:c r="I23" s="212"/>
      <x:c r="J23" s="212"/>
      <x:c r="K23" s="212"/>
      <x:c r="L23" s="212"/>
      <x:c r="M23" s="240"/>
      <x:c r="N23" s="212"/>
      <x:c r="O23" s="212"/>
      <x:c r="P23" s="237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 ht="28" customHeight="1">
      <x:c r="A24" s="222"/>
      <x:c r="B24" s="212"/>
      <x:c r="C24" s="212"/>
      <x:c r="D24" s="212"/>
      <x:c r="E24" s="212"/>
      <x:c r="F24" s="212"/>
      <x:c r="G24" s="212"/>
      <x:c r="H24" s="219" t="str">
        <x:f>IF(C24="","",IF(G24="&gt;=",IF(D24&gt;=F24,"正常","关注"),IF(G24="&lt;=",IF(D24&lt;=F24,"正常","关注"),"人工判断")))</x:f>
      </x:c>
      <x:c r="I24" s="212"/>
      <x:c r="J24" s="212"/>
      <x:c r="K24" s="212"/>
      <x:c r="L24" s="212"/>
      <x:c r="M24" s="240"/>
      <x:c r="N24" s="212"/>
      <x:c r="O24" s="212"/>
      <x:c r="P24" s="237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 ht="28" customHeight="1">
      <x:c r="A25" s="222"/>
      <x:c r="B25" s="212"/>
      <x:c r="C25" s="212"/>
      <x:c r="D25" s="212"/>
      <x:c r="E25" s="212"/>
      <x:c r="F25" s="212"/>
      <x:c r="G25" s="212"/>
      <x:c r="H25" s="219" t="str">
        <x:f>IF(C25="","",IF(G25="&gt;=",IF(D25&gt;=F25,"正常","关注"),IF(G25="&lt;=",IF(D25&lt;=F25,"正常","关注"),"人工判断")))</x:f>
      </x:c>
      <x:c r="I25" s="212"/>
      <x:c r="J25" s="212"/>
      <x:c r="K25" s="212"/>
      <x:c r="L25" s="212"/>
      <x:c r="M25" s="240"/>
      <x:c r="N25" s="212"/>
      <x:c r="O25" s="212"/>
      <x:c r="P25" s="237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 ht="28" customHeight="1">
      <x:c r="A26" s="222"/>
      <x:c r="B26" s="212"/>
      <x:c r="C26" s="212"/>
      <x:c r="D26" s="212"/>
      <x:c r="E26" s="212"/>
      <x:c r="F26" s="212"/>
      <x:c r="G26" s="212"/>
      <x:c r="H26" s="219" t="str">
        <x:f>IF(C26="","",IF(G26="&gt;=",IF(D26&gt;=F26,"正常","关注"),IF(G26="&lt;=",IF(D26&lt;=F26,"正常","关注"),"人工判断")))</x:f>
      </x:c>
      <x:c r="I26" s="212"/>
      <x:c r="J26" s="212"/>
      <x:c r="K26" s="212"/>
      <x:c r="L26" s="212"/>
      <x:c r="M26" s="240"/>
      <x:c r="N26" s="212"/>
      <x:c r="O26" s="212"/>
      <x:c r="P26" s="237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 ht="28" customHeight="1">
      <x:c r="A27" s="222"/>
      <x:c r="B27" s="212"/>
      <x:c r="C27" s="212"/>
      <x:c r="D27" s="212"/>
      <x:c r="E27" s="212"/>
      <x:c r="F27" s="212"/>
      <x:c r="G27" s="212"/>
      <x:c r="H27" s="219" t="str">
        <x:f>IF(C27="","",IF(G27="&gt;=",IF(D27&gt;=F27,"正常","关注"),IF(G27="&lt;=",IF(D27&lt;=F27,"正常","关注"),"人工判断")))</x:f>
      </x:c>
      <x:c r="I27" s="212"/>
      <x:c r="J27" s="212"/>
      <x:c r="K27" s="212"/>
      <x:c r="L27" s="212"/>
      <x:c r="M27" s="240"/>
      <x:c r="N27" s="212"/>
      <x:c r="O27" s="212"/>
      <x:c r="P27" s="237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 ht="28" customHeight="1">
      <x:c r="A28" s="222"/>
      <x:c r="B28" s="212"/>
      <x:c r="C28" s="212"/>
      <x:c r="D28" s="212"/>
      <x:c r="E28" s="212"/>
      <x:c r="F28" s="212"/>
      <x:c r="G28" s="212"/>
      <x:c r="H28" s="219" t="str">
        <x:f>IF(C28="","",IF(G28="&gt;=",IF(D28&gt;=F28,"正常","关注"),IF(G28="&lt;=",IF(D28&lt;=F28,"正常","关注"),"人工判断")))</x:f>
      </x:c>
      <x:c r="I28" s="212"/>
      <x:c r="J28" s="212"/>
      <x:c r="K28" s="212"/>
      <x:c r="L28" s="212"/>
      <x:c r="M28" s="240"/>
      <x:c r="N28" s="212"/>
      <x:c r="O28" s="212"/>
      <x:c r="P28" s="237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 ht="28" customHeight="1">
      <x:c r="A29" s="222"/>
      <x:c r="B29" s="212"/>
      <x:c r="C29" s="212"/>
      <x:c r="D29" s="212"/>
      <x:c r="E29" s="212"/>
      <x:c r="F29" s="212"/>
      <x:c r="G29" s="212"/>
      <x:c r="H29" s="219" t="str">
        <x:f>IF(C29="","",IF(G29="&gt;=",IF(D29&gt;=F29,"正常","关注"),IF(G29="&lt;=",IF(D29&lt;=F29,"正常","关注"),"人工判断")))</x:f>
      </x:c>
      <x:c r="I29" s="212"/>
      <x:c r="J29" s="212"/>
      <x:c r="K29" s="212"/>
      <x:c r="L29" s="212"/>
      <x:c r="M29" s="240"/>
      <x:c r="N29" s="212"/>
      <x:c r="O29" s="212"/>
      <x:c r="P29" s="237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 ht="28" customHeight="1">
      <x:c r="A30" s="222"/>
      <x:c r="B30" s="212"/>
      <x:c r="C30" s="212"/>
      <x:c r="D30" s="212"/>
      <x:c r="E30" s="212"/>
      <x:c r="F30" s="212"/>
      <x:c r="G30" s="212"/>
      <x:c r="H30" s="219" t="str">
        <x:f>IF(C30="","",IF(G30="&gt;=",IF(D30&gt;=F30,"正常","关注"),IF(G30="&lt;=",IF(D30&lt;=F30,"正常","关注"),"人工判断")))</x:f>
      </x:c>
      <x:c r="I30" s="212"/>
      <x:c r="J30" s="212"/>
      <x:c r="K30" s="212"/>
      <x:c r="L30" s="212"/>
      <x:c r="M30" s="240"/>
      <x:c r="N30" s="212"/>
      <x:c r="O30" s="212"/>
      <x:c r="P30" s="237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 ht="28" customHeight="1">
      <x:c r="A31" s="222"/>
      <x:c r="B31" s="212"/>
      <x:c r="C31" s="212"/>
      <x:c r="D31" s="212"/>
      <x:c r="E31" s="212"/>
      <x:c r="F31" s="212"/>
      <x:c r="G31" s="212"/>
      <x:c r="H31" s="219" t="str">
        <x:f>IF(C31="","",IF(G31="&gt;=",IF(D31&gt;=F31,"正常","关注"),IF(G31="&lt;=",IF(D31&lt;=F31,"正常","关注"),"人工判断")))</x:f>
      </x:c>
      <x:c r="I31" s="212"/>
      <x:c r="J31" s="212"/>
      <x:c r="K31" s="212"/>
      <x:c r="L31" s="212"/>
      <x:c r="M31" s="240"/>
      <x:c r="N31" s="212"/>
      <x:c r="O31" s="212"/>
      <x:c r="P31" s="237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 ht="28" customHeight="1">
      <x:c r="A32" s="222"/>
      <x:c r="B32" s="212"/>
      <x:c r="C32" s="212"/>
      <x:c r="D32" s="212"/>
      <x:c r="E32" s="212"/>
      <x:c r="F32" s="212"/>
      <x:c r="G32" s="212"/>
      <x:c r="H32" s="219" t="str">
        <x:f>IF(C32="","",IF(G32="&gt;=",IF(D32&gt;=F32,"正常","关注"),IF(G32="&lt;=",IF(D32&lt;=F32,"正常","关注"),"人工判断")))</x:f>
      </x:c>
      <x:c r="I32" s="212"/>
      <x:c r="J32" s="212"/>
      <x:c r="K32" s="212"/>
      <x:c r="L32" s="212"/>
      <x:c r="M32" s="240"/>
      <x:c r="N32" s="212"/>
      <x:c r="O32" s="212"/>
      <x:c r="P32" s="237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 ht="28" customHeight="1">
      <x:c r="A33" s="222"/>
      <x:c r="B33" s="212"/>
      <x:c r="C33" s="212"/>
      <x:c r="D33" s="212"/>
      <x:c r="E33" s="212"/>
      <x:c r="F33" s="212"/>
      <x:c r="G33" s="212"/>
      <x:c r="H33" s="219" t="str">
        <x:f>IF(C33="","",IF(G33="&gt;=",IF(D33&gt;=F33,"正常","关注"),IF(G33="&lt;=",IF(D33&lt;=F33,"正常","关注"),"人工判断")))</x:f>
      </x:c>
      <x:c r="I33" s="212"/>
      <x:c r="J33" s="212"/>
      <x:c r="K33" s="212"/>
      <x:c r="L33" s="212"/>
      <x:c r="M33" s="240"/>
      <x:c r="N33" s="212"/>
      <x:c r="O33" s="212"/>
      <x:c r="P33" s="237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 ht="28" customHeight="1">
      <x:c r="A34" s="222"/>
      <x:c r="B34" s="212"/>
      <x:c r="C34" s="212"/>
      <x:c r="D34" s="212"/>
      <x:c r="E34" s="212"/>
      <x:c r="F34" s="212"/>
      <x:c r="G34" s="212"/>
      <x:c r="H34" s="219" t="str">
        <x:f>IF(C34="","",IF(G34="&gt;=",IF(D34&gt;=F34,"正常","关注"),IF(G34="&lt;=",IF(D34&lt;=F34,"正常","关注"),"人工判断")))</x:f>
      </x:c>
      <x:c r="I34" s="212"/>
      <x:c r="J34" s="212"/>
      <x:c r="K34" s="212"/>
      <x:c r="L34" s="212"/>
      <x:c r="M34" s="240"/>
      <x:c r="N34" s="212"/>
      <x:c r="O34" s="212"/>
      <x:c r="P34" s="237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 ht="28" customHeight="1">
      <x:c r="A35" s="223"/>
      <x:c r="B35" s="214"/>
      <x:c r="C35" s="214"/>
      <x:c r="D35" s="214"/>
      <x:c r="E35" s="214"/>
      <x:c r="F35" s="214"/>
      <x:c r="G35" s="214"/>
      <x:c r="H35" s="220" t="str">
        <x:f>IF(C35="","",IF(G35="&gt;=",IF(D35&gt;=F35,"正常","关注"),IF(G35="&lt;=",IF(D35&lt;=F35,"正常","关注"),"人工判断")))</x:f>
      </x:c>
      <x:c r="I35" s="214"/>
      <x:c r="J35" s="214"/>
      <x:c r="K35" s="214"/>
      <x:c r="L35" s="214"/>
      <x:c r="M35" s="241"/>
      <x:c r="N35" s="214"/>
      <x:c r="O35" s="214"/>
      <x:c r="P35" s="238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P2"/>
    <x:mergeCell ref="A3:P3"/>
  </x:mergeCells>
  <x:conditionalFormatting sqref="H6:H35">
    <x:cfRule type="containsText" dxfId="10" priority="1" operator="containsText" text="正常"/>
    <x:cfRule type="containsText" dxfId="11" priority="2" operator="containsText" text="已完成"/>
    <x:cfRule type="containsText" dxfId="12" priority="3" operator="containsText" text="关注"/>
    <x:cfRule type="containsText" dxfId="13" priority="4" operator="containsText" text="预警"/>
    <x:cfRule type="containsText" dxfId="14" priority="5" operator="containsText" text="逾期"/>
  </x:conditionalFormatting>
  <x:dataValidations count="2">
    <x:dataValidation type="list" sqref="G6:G35">
      <x:formula1>"&gt;=,&lt;=,人工判断"</x:formula1>
    </x:dataValidation>
    <x:dataValidation type="list" sqref="E6:E35">
      <x:formula1>"元,%,项,人,个,单,天,次"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0" hidden="0" customWidth="1"/>
    <x:col min="4" max="4" width="16" hidden="0" customWidth="1"/>
    <x:col min="5" max="5" width="30" hidden="0" customWidth="1"/>
    <x:col min="6" max="6" width="32" hidden="0" customWidth="1"/>
    <x:col min="7" max="7" width="18" hidden="0" customWidth="1"/>
    <x:col min="8" max="8" width="16" hidden="0" customWidth="1"/>
    <x:col min="9" max="9" width="13" hidden="0" customWidth="1"/>
    <x:col min="10" max="10" width="10" hidden="0" customWidth="1"/>
    <x:col min="11" max="11" width="30" hidden="0" customWidth="1"/>
    <x:col min="12" max="12" width="32" hidden="0" customWidth="1"/>
    <x:col min="13" max="13" width="14" hidden="0" customWidth="1"/>
    <x:col min="14" max="14" width="12" hidden="0" customWidth="1"/>
    <x:col min="15" max="15" width="34" hidden="0" customWidth="1"/>
    <x:col min="16" max="16" width="30" hidden="0" customWidth="1"/>
    <x:col min="17" max="17" width="20" hidden="0" customWidth="1"/>
    <x:col min="18" max="18" width="24" hidden="0" customWidth="1"/>
  </x:cols>
  <x:sheetData>
    <x:row r="1" ht="34" customHeight="1">
      <x:c r="A1" s="16" t="str">
        <x:v>重点事项与风控采集
统一管理重点事项、风险预警、协调事项和老板决策</x:v>
      </x:c>
      <x:c r="B1" s="17" t="str">
        <x:v>重点事项与风控采集
统一管理重点事项、风险预警、协调事项和老板决策</x:v>
      </x:c>
      <x:c r="C1" s="17" t="str">
        <x:v>重点事项与风控采集
统一管理重点事项、风险预警、协调事项和老板决策</x:v>
      </x:c>
      <x:c r="D1" s="17" t="str">
        <x:v>重点事项与风控采集
统一管理重点事项、风险预警、协调事项和老板决策</x:v>
      </x:c>
      <x:c r="E1" s="17" t="str">
        <x:v>重点事项与风控采集
统一管理重点事项、风险预警、协调事项和老板决策</x:v>
      </x:c>
      <x:c r="F1" s="17" t="str">
        <x:v>重点事项与风控采集
统一管理重点事项、风险预警、协调事项和老板决策</x:v>
      </x:c>
      <x:c r="G1" s="17" t="str">
        <x:v>重点事项与风控采集
统一管理重点事项、风险预警、协调事项和老板决策</x:v>
      </x:c>
      <x:c r="H1" s="17" t="str">
        <x:v>重点事项与风控采集
统一管理重点事项、风险预警、协调事项和老板决策</x:v>
      </x:c>
      <x:c r="I1" s="17" t="str">
        <x:v>重点事项与风控采集
统一管理重点事项、风险预警、协调事项和老板决策</x:v>
      </x:c>
      <x:c r="J1" s="17" t="str">
        <x:v>重点事项与风控采集
统一管理重点事项、风险预警、协调事项和老板决策</x:v>
      </x:c>
      <x:c r="K1" s="17" t="str">
        <x:v>重点事项与风控采集
统一管理重点事项、风险预警、协调事项和老板决策</x:v>
      </x:c>
      <x:c r="L1" s="17" t="str">
        <x:v>重点事项与风控采集
统一管理重点事项、风险预警、协调事项和老板决策</x:v>
      </x:c>
      <x:c r="M1" s="17" t="str">
        <x:v>重点事项与风控采集
统一管理重点事项、风险预警、协调事项和老板决策</x:v>
      </x:c>
      <x:c r="N1" s="17" t="str">
        <x:v>重点事项与风控采集
统一管理重点事项、风险预警、协调事项和老板决策</x:v>
      </x:c>
      <x:c r="O1" s="17" t="str">
        <x:v>重点事项与风控采集
统一管理重点事项、风险预警、协调事项和老板决策</x:v>
      </x:c>
      <x:c r="P1" s="17" t="str">
        <x:v>重点事项与风控采集
统一管理重点事项、风险预警、协调事项和老板决策</x:v>
      </x:c>
      <x:c r="Q1" s="17" t="str">
        <x:v>重点事项与风控采集
统一管理重点事项、风险预警、协调事项和老板决策</x:v>
      </x:c>
      <x:c r="R1" s="18" t="str">
        <x:v>重点事项与风控采集
统一管理重点事项、风险预警、协调事项和老板决策</x:v>
      </x:c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重点事项与风控采集
统一管理重点事项、风险预警、协调事项和老板决策</x:v>
      </x:c>
      <x:c r="B2" s="20" t="str">
        <x:v>重点事项与风控采集
统一管理重点事项、风险预警、协调事项和老板决策</x:v>
      </x:c>
      <x:c r="C2" s="20" t="str">
        <x:v>重点事项与风控采集
统一管理重点事项、风险预警、协调事项和老板决策</x:v>
      </x:c>
      <x:c r="D2" s="20" t="str">
        <x:v>重点事项与风控采集
统一管理重点事项、风险预警、协调事项和老板决策</x:v>
      </x:c>
      <x:c r="E2" s="20" t="str">
        <x:v>重点事项与风控采集
统一管理重点事项、风险预警、协调事项和老板决策</x:v>
      </x:c>
      <x:c r="F2" s="20" t="str">
        <x:v>重点事项与风控采集
统一管理重点事项、风险预警、协调事项和老板决策</x:v>
      </x:c>
      <x:c r="G2" s="20" t="str">
        <x:v>重点事项与风控采集
统一管理重点事项、风险预警、协调事项和老板决策</x:v>
      </x:c>
      <x:c r="H2" s="20" t="str">
        <x:v>重点事项与风控采集
统一管理重点事项、风险预警、协调事项和老板决策</x:v>
      </x:c>
      <x:c r="I2" s="20" t="str">
        <x:v>重点事项与风控采集
统一管理重点事项、风险预警、协调事项和老板决策</x:v>
      </x:c>
      <x:c r="J2" s="20" t="str">
        <x:v>重点事项与风控采集
统一管理重点事项、风险预警、协调事项和老板决策</x:v>
      </x:c>
      <x:c r="K2" s="20" t="str">
        <x:v>重点事项与风控采集
统一管理重点事项、风险预警、协调事项和老板决策</x:v>
      </x:c>
      <x:c r="L2" s="20" t="str">
        <x:v>重点事项与风控采集
统一管理重点事项、风险预警、协调事项和老板决策</x:v>
      </x:c>
      <x:c r="M2" s="20" t="str">
        <x:v>重点事项与风控采集
统一管理重点事项、风险预警、协调事项和老板决策</x:v>
      </x:c>
      <x:c r="N2" s="20" t="str">
        <x:v>重点事项与风控采集
统一管理重点事项、风险预警、协调事项和老板决策</x:v>
      </x:c>
      <x:c r="O2" s="20" t="str">
        <x:v>重点事项与风控采集
统一管理重点事项、风险预警、协调事项和老板决策</x:v>
      </x:c>
      <x:c r="P2" s="20" t="str">
        <x:v>重点事项与风控采集
统一管理重点事项、风险预警、协调事项和老板决策</x:v>
      </x:c>
      <x:c r="Q2" s="20" t="str">
        <x:v>重点事项与风控采集
统一管理重点事项、风险预警、协调事项和老板决策</x:v>
      </x:c>
      <x:c r="R2" s="21" t="str">
        <x:v>重点事项与风控采集
统一管理重点事项、风险预警、协调事项和老板决策</x:v>
      </x:c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B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C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D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E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F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G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H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I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J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K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L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M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N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O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P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Q3" s="31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R3" s="32" t="str">
        <x:v>每项一行。红色仅用于影响收入、现金流、合规或关键节点的重大风险；必须填写影响、责任人、下一步、截止日期和闭环标准。需老板介入为“是”时必须写清决策请求。</x:v>
      </x:c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34" customHeight="1">
      <x:c r="A5" s="129" t="str">
        <x:v>报告日期</x:v>
      </x:c>
      <x:c r="B5" s="130" t="str">
        <x:v>事项类型</x:v>
      </x:c>
      <x:c r="C5" s="130" t="str">
        <x:v>风险等级</x:v>
      </x:c>
      <x:c r="D5" s="130" t="str">
        <x:v>分类</x:v>
      </x:c>
      <x:c r="E5" s="130" t="str">
        <x:v>事项</x:v>
      </x:c>
      <x:c r="F5" s="130" t="str">
        <x:v>影响</x:v>
      </x:c>
      <x:c r="G5" s="130" t="str">
        <x:v>责任部门</x:v>
      </x:c>
      <x:c r="H5" s="130" t="str">
        <x:v>负责人</x:v>
      </x:c>
      <x:c r="I5" s="130" t="str">
        <x:v>状态</x:v>
      </x:c>
      <x:c r="J5" s="130" t="str">
        <x:v>进度</x:v>
      </x:c>
      <x:c r="K5" s="130" t="str">
        <x:v>当前进展</x:v>
      </x:c>
      <x:c r="L5" s="130" t="str">
        <x:v>下一步动作</x:v>
      </x:c>
      <x:c r="M5" s="130" t="str">
        <x:v>截止日期</x:v>
      </x:c>
      <x:c r="N5" s="130" t="str">
        <x:v>老板介入</x:v>
      </x:c>
      <x:c r="O5" s="130" t="str">
        <x:v>决策/协调请求</x:v>
      </x:c>
      <x:c r="P5" s="130" t="str">
        <x:v>闭环标准</x:v>
      </x:c>
      <x:c r="Q5" s="130" t="str">
        <x:v>更新时间</x:v>
      </x:c>
      <x:c r="R5" s="131" t="str">
        <x:v>数据来源/提供人</x:v>
      </x:c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 ht="28" customHeight="1">
      <x:c r="A6" s="221" t="n">
        <x:v>46242</x:v>
      </x:c>
      <x:c r="B6" s="210" t="str">
        <x:v>风险预警</x:v>
      </x:c>
      <x:c r="C6" s="210" t="str">
        <x:v>红</x:v>
      </x:c>
      <x:c r="D6" s="210" t="str">
        <x:v>平台合规</x:v>
      </x:c>
      <x:c r="E6" s="210" t="str">
        <x:v>Apple线上异常订单及国补审核</x:v>
      </x:c>
      <x:c r="F6" s="210" t="str">
        <x:v>影响国补回款及平台合规</x:v>
      </x:c>
      <x:c r="G6" s="210" t="str">
        <x:v>Apple电商</x:v>
      </x:c>
      <x:c r="H6" s="210" t="str">
        <x:v>邵文昌</x:v>
      </x:c>
      <x:c r="I6" s="210" t="str">
        <x:v>进行中</x:v>
      </x:c>
      <x:c r="J6" s="242" t="n">
        <x:v>0.65</x:v>
      </x:c>
      <x:c r="K6" s="210" t="str">
        <x:v>剩余6单待平台确认</x:v>
      </x:c>
      <x:c r="L6" s="210" t="str">
        <x:v>今晚形成清单并提交举证</x:v>
      </x:c>
      <x:c r="M6" s="239" t="n">
        <x:v>46242</x:v>
      </x:c>
      <x:c r="N6" s="210" t="str">
        <x:v>否</x:v>
      </x:c>
      <x:c r="O6" s="210" t="str"/>
      <x:c r="P6" s="210" t="str">
        <x:v>异常订单全部提交并取得平台回执</x:v>
      </x:c>
      <x:c r="Q6" s="245" t="n">
        <x:v>46242.01736111111</x:v>
      </x:c>
      <x:c r="R6" s="215" t="str">
        <x:v>异常订单表/赵驰</x:v>
      </x:c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28" customHeight="1">
      <x:c r="A7" s="222" t="n">
        <x:v>46242</x:v>
      </x:c>
      <x:c r="B7" s="212" t="str">
        <x:v>老板决策</x:v>
      </x:c>
      <x:c r="C7" s="212" t="str">
        <x:v>红</x:v>
      </x:c>
      <x:c r="D7" s="212" t="str">
        <x:v>资金回款</x:v>
      </x:c>
      <x:c r="E7" s="212" t="str">
        <x:v>逾期应收超过控制线</x:v>
      </x:c>
      <x:c r="F7" s="212" t="str">
        <x:v>影响现金流及账期管理</x:v>
      </x:c>
      <x:c r="G7" s="212" t="str">
        <x:v>财务</x:v>
      </x:c>
      <x:c r="H7" s="212" t="str">
        <x:v>财务负责人</x:v>
      </x:c>
      <x:c r="I7" s="212" t="str">
        <x:v>预警</x:v>
      </x:c>
      <x:c r="J7" s="243" t="n">
        <x:v>0.35</x:v>
      </x:c>
      <x:c r="K7" s="212" t="str">
        <x:v>逾期应收42万元</x:v>
      </x:c>
      <x:c r="L7" s="212" t="str">
        <x:v>锁定渠道并明确回款日期</x:v>
      </x:c>
      <x:c r="M7" s="240" t="n">
        <x:v>46244</x:v>
      </x:c>
      <x:c r="N7" s="212" t="str">
        <x:v>是</x:v>
      </x:c>
      <x:c r="O7" s="212" t="str">
        <x:v>若节点前仍无法确认回款日，请协调渠道负责人</x:v>
      </x:c>
      <x:c r="P7" s="212" t="str">
        <x:v>取得书面回款节点并纳入台账</x:v>
      </x:c>
      <x:c r="Q7" s="246" t="n">
        <x:v>46242.018055555556</x:v>
      </x:c>
      <x:c r="R7" s="216" t="str">
        <x:v>财务台账/财务</x:v>
      </x:c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28" customHeight="1">
      <x:c r="A8" s="222" t="n">
        <x:v>46242</x:v>
      </x:c>
      <x:c r="B8" s="212" t="str">
        <x:v>重点事项</x:v>
      </x:c>
      <x:c r="C8" s="212" t="str">
        <x:v>黄</x:v>
      </x:c>
      <x:c r="D8" s="212" t="str">
        <x:v>库存清理</x:v>
      </x:c>
      <x:c r="E8" s="212" t="str">
        <x:v>舒尔90天+库存清理</x:v>
      </x:c>
      <x:c r="F8" s="212" t="str">
        <x:v>占用库存资金，影响大促前库存健康</x:v>
      </x:c>
      <x:c r="G8" s="212" t="str">
        <x:v>舒尔电商/采销</x:v>
      </x:c>
      <x:c r="H8" s="212" t="str">
        <x:v>任毅/王文学</x:v>
      </x:c>
      <x:c r="I8" s="212" t="str">
        <x:v>进行中</x:v>
      </x:c>
      <x:c r="J8" s="243" t="n">
        <x:v>0.45</x:v>
      </x:c>
      <x:c r="K8" s="212" t="str">
        <x:v>重点SKU已纳入清理计划</x:v>
      </x:c>
      <x:c r="L8" s="212" t="str">
        <x:v>形成SKU级周清理目标</x:v>
      </x:c>
      <x:c r="M8" s="240" t="n">
        <x:v>46249</x:v>
      </x:c>
      <x:c r="N8" s="212" t="str">
        <x:v>否</x:v>
      </x:c>
      <x:c r="O8" s="212" t="str"/>
      <x:c r="P8" s="212" t="str">
        <x:v>90天+库存按周目标下降</x:v>
      </x:c>
      <x:c r="Q8" s="246" t="n">
        <x:v>46242.01875</x:v>
      </x:c>
      <x:c r="R8" s="216" t="str">
        <x:v>库存分析表/任毅</x:v>
      </x:c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28" customHeight="1">
      <x:c r="A9" s="222" t="n">
        <x:v>46242</x:v>
      </x:c>
      <x:c r="B9" s="212" t="str">
        <x:v>风险预警</x:v>
      </x:c>
      <x:c r="C9" s="212" t="str">
        <x:v>黄</x:v>
      </x:c>
      <x:c r="D9" s="212" t="str">
        <x:v>库存周转</x:v>
      </x:c>
      <x:c r="E9" s="212" t="str">
        <x:v>3PP超龄库存处理</x:v>
      </x:c>
      <x:c r="F9" s="212" t="str">
        <x:v>影响库存周转及资金效率</x:v>
      </x:c>
      <x:c r="G9" s="212" t="str">
        <x:v>3PP/采销</x:v>
      </x:c>
      <x:c r="H9" s="212" t="str">
        <x:v>王文学</x:v>
      </x:c>
      <x:c r="I9" s="212" t="str">
        <x:v>有风险</x:v>
      </x:c>
      <x:c r="J9" s="243" t="n">
        <x:v>0.4</x:v>
      </x:c>
      <x:c r="K9" s="212" t="str">
        <x:v>调剂方案待门店确认</x:v>
      </x:c>
      <x:c r="L9" s="212" t="str">
        <x:v>推动门店调剂并明确价格策略</x:v>
      </x:c>
      <x:c r="M9" s="240" t="n">
        <x:v>46244</x:v>
      </x:c>
      <x:c r="N9" s="212" t="str">
        <x:v>否</x:v>
      </x:c>
      <x:c r="O9" s="212" t="str"/>
      <x:c r="P9" s="212" t="str">
        <x:v>完成调剂清单并按计划消化</x:v>
      </x:c>
      <x:c r="Q9" s="246" t="n">
        <x:v>46242.01944444444</x:v>
      </x:c>
      <x:c r="R9" s="216" t="str">
        <x:v>库存表/采销</x:v>
      </x:c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28" customHeight="1">
      <x:c r="A10" s="222" t="n">
        <x:v>46242</x:v>
      </x:c>
      <x:c r="B10" s="212" t="str">
        <x:v>重点事项</x:v>
      </x:c>
      <x:c r="C10" s="212" t="str">
        <x:v>黄</x:v>
      </x:c>
      <x:c r="D10" s="212" t="str">
        <x:v>库存保障</x:v>
      </x:c>
      <x:c r="E10" s="212" t="str">
        <x:v>线上重点SKU库存覆盖不足</x:v>
      </x:c>
      <x:c r="F10" s="212" t="str">
        <x:v>影响线上抓取及销售转化</x:v>
      </x:c>
      <x:c r="G10" s="212" t="str">
        <x:v>APR门店</x:v>
      </x:c>
      <x:c r="H10" s="212" t="str">
        <x:v>黄思瑞</x:v>
      </x:c>
      <x:c r="I10" s="212" t="str">
        <x:v>进行中</x:v>
      </x:c>
      <x:c r="J10" s="243" t="n">
        <x:v>0.6</x:v>
      </x:c>
      <x:c r="K10" s="212" t="str">
        <x:v>3家门店重点SKU低于2台</x:v>
      </x:c>
      <x:c r="L10" s="212" t="str">
        <x:v>跨店调剂或提交补货</x:v>
      </x:c>
      <x:c r="M10" s="240" t="n">
        <x:v>46244</x:v>
      </x:c>
      <x:c r="N10" s="212" t="str">
        <x:v>否</x:v>
      </x:c>
      <x:c r="O10" s="212" t="str"/>
      <x:c r="P10" s="212" t="str">
        <x:v>重点SKU达到平台抓取水位</x:v>
      </x:c>
      <x:c r="Q10" s="246" t="n">
        <x:v>46242.01944444444</x:v>
      </x:c>
      <x:c r="R10" s="216" t="str">
        <x:v>门店库存表/APR运营</x:v>
      </x:c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 ht="28" customHeight="1">
      <x:c r="A11" s="222" t="n">
        <x:v>46242</x:v>
      </x:c>
      <x:c r="B11" s="212" t="str">
        <x:v>重点事项</x:v>
      </x:c>
      <x:c r="C11" s="212" t="str">
        <x:v>蓝</x:v>
      </x:c>
      <x:c r="D11" s="212" t="str">
        <x:v>人事保障</x:v>
      </x:c>
      <x:c r="E11" s="212" t="str">
        <x:v>新人30天成长考核</x:v>
      </x:c>
      <x:c r="F11" s="212" t="str">
        <x:v>影响岗位稳定和培训闭环</x:v>
      </x:c>
      <x:c r="G11" s="212" t="str">
        <x:v>综合办/人事</x:v>
      </x:c>
      <x:c r="H11" s="212" t="str">
        <x:v>李婧岚</x:v>
      </x:c>
      <x:c r="I11" s="212" t="str">
        <x:v>进行中</x:v>
      </x:c>
      <x:c r="J11" s="243" t="n">
        <x:v>0.7</x:v>
      </x:c>
      <x:c r="K11" s="212" t="str">
        <x:v>无锡、运城各1人待补填</x:v>
      </x:c>
      <x:c r="L11" s="212" t="str">
        <x:v>完成带教反馈及评估表</x:v>
      </x:c>
      <x:c r="M11" s="240" t="n">
        <x:v>46246</x:v>
      </x:c>
      <x:c r="N11" s="212" t="str">
        <x:v>否</x:v>
      </x:c>
      <x:c r="O11" s="212" t="str"/>
      <x:c r="P11" s="212" t="str">
        <x:v>评估表完整并完成负责人确认</x:v>
      </x:c>
      <x:c r="Q11" s="246" t="n">
        <x:v>46242.02013888889</x:v>
      </x:c>
      <x:c r="R11" s="216" t="str">
        <x:v>人事台账/人事</x:v>
      </x:c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28" customHeight="1">
      <x:c r="A12" s="222" t="n">
        <x:v>46242</x:v>
      </x:c>
      <x:c r="B12" s="212" t="str">
        <x:v>重点事项</x:v>
      </x:c>
      <x:c r="C12" s="212" t="str">
        <x:v>蓝</x:v>
      </x:c>
      <x:c r="D12" s="212" t="str">
        <x:v>数据治理</x:v>
      </x:c>
      <x:c r="E12" s="212" t="str">
        <x:v>泛中台与吉客云数据核对</x:v>
      </x:c>
      <x:c r="F12" s="212" t="str">
        <x:v>影响经营数据准确性</x:v>
      </x:c>
      <x:c r="G12" s="212" t="str">
        <x:v>财务/系统</x:v>
      </x:c>
      <x:c r="H12" s="212" t="str">
        <x:v>财务负责人</x:v>
      </x:c>
      <x:c r="I12" s="212" t="str">
        <x:v>进行中</x:v>
      </x:c>
      <x:c r="J12" s="243" t="n">
        <x:v>0.5</x:v>
      </x:c>
      <x:c r="K12" s="212" t="str">
        <x:v>线上数据核对中</x:v>
      </x:c>
      <x:c r="L12" s="212" t="str">
        <x:v>形成差异清单并确认口径</x:v>
      </x:c>
      <x:c r="M12" s="240" t="n">
        <x:v>46246</x:v>
      </x:c>
      <x:c r="N12" s="212" t="str">
        <x:v>否</x:v>
      </x:c>
      <x:c r="O12" s="212" t="str"/>
      <x:c r="P12" s="212" t="str">
        <x:v>差异清零或形成确认说明</x:v>
      </x:c>
      <x:c r="Q12" s="246" t="n">
        <x:v>46242.02013888889</x:v>
      </x:c>
      <x:c r="R12" s="216" t="str">
        <x:v>系统导出/财务</x:v>
      </x:c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 ht="28" customHeight="1">
      <x:c r="A13" s="222" t="n">
        <x:v>46242</x:v>
      </x:c>
      <x:c r="B13" s="212" t="str">
        <x:v>协调事项</x:v>
      </x:c>
      <x:c r="C13" s="212" t="str">
        <x:v>蓝</x:v>
      </x:c>
      <x:c r="D13" s="212" t="str">
        <x:v>内容传播</x:v>
      </x:c>
      <x:c r="E13" s="212" t="str">
        <x:v>门店内容传播补发布</x:v>
      </x:c>
      <x:c r="F13" s="212" t="str">
        <x:v>影响门店曝光及内容任务闭环</x:v>
      </x:c>
      <x:c r="G13" s="212" t="str">
        <x:v>APR/内容</x:v>
      </x:c>
      <x:c r="H13" s="212" t="str">
        <x:v>沈露奇</x:v>
      </x:c>
      <x:c r="I13" s="212" t="str">
        <x:v>待处理</x:v>
      </x:c>
      <x:c r="J13" s="243" t="n">
        <x:v>0.2</x:v>
      </x:c>
      <x:c r="K13" s="212" t="str">
        <x:v>1家门店待补发布</x:v>
      </x:c>
      <x:c r="L13" s="212" t="str">
        <x:v>补齐链接并纳入日报归档</x:v>
      </x:c>
      <x:c r="M13" s="240" t="n">
        <x:v>46243</x:v>
      </x:c>
      <x:c r="N13" s="212" t="str">
        <x:v>否</x:v>
      </x:c>
      <x:c r="O13" s="212" t="str">
        <x:v>协调门店当日补发</x:v>
      </x:c>
      <x:c r="P13" s="212" t="str">
        <x:v>内容发布并提供有效链接</x:v>
      </x:c>
      <x:c r="Q13" s="246" t="n">
        <x:v>46242.020833333336</x:v>
      </x:c>
      <x:c r="R13" s="216" t="str">
        <x:v>内容台账/内容运营</x:v>
      </x:c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 ht="28" customHeight="1">
      <x:c r="A14" s="222"/>
      <x:c r="B14" s="212"/>
      <x:c r="C14" s="212"/>
      <x:c r="D14" s="212"/>
      <x:c r="E14" s="212"/>
      <x:c r="F14" s="212"/>
      <x:c r="G14" s="212"/>
      <x:c r="H14" s="212"/>
      <x:c r="I14" s="212"/>
      <x:c r="J14" s="243"/>
      <x:c r="K14" s="212"/>
      <x:c r="L14" s="212"/>
      <x:c r="M14" s="240"/>
      <x:c r="N14" s="212"/>
      <x:c r="O14" s="212"/>
      <x:c r="P14" s="212"/>
      <x:c r="Q14" s="246"/>
      <x:c r="R14" s="216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 ht="28" customHeight="1">
      <x:c r="A15" s="222"/>
      <x:c r="B15" s="212"/>
      <x:c r="C15" s="212"/>
      <x:c r="D15" s="212"/>
      <x:c r="E15" s="212"/>
      <x:c r="F15" s="212"/>
      <x:c r="G15" s="212"/>
      <x:c r="H15" s="212"/>
      <x:c r="I15" s="212"/>
      <x:c r="J15" s="243"/>
      <x:c r="K15" s="212"/>
      <x:c r="L15" s="212"/>
      <x:c r="M15" s="240"/>
      <x:c r="N15" s="212"/>
      <x:c r="O15" s="212"/>
      <x:c r="P15" s="212"/>
      <x:c r="Q15" s="246"/>
      <x:c r="R15" s="216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 ht="28" customHeight="1">
      <x:c r="A16" s="222"/>
      <x:c r="B16" s="212"/>
      <x:c r="C16" s="212"/>
      <x:c r="D16" s="212"/>
      <x:c r="E16" s="212"/>
      <x:c r="F16" s="212"/>
      <x:c r="G16" s="212"/>
      <x:c r="H16" s="212"/>
      <x:c r="I16" s="212"/>
      <x:c r="J16" s="243"/>
      <x:c r="K16" s="212"/>
      <x:c r="L16" s="212"/>
      <x:c r="M16" s="240"/>
      <x:c r="N16" s="212"/>
      <x:c r="O16" s="212"/>
      <x:c r="P16" s="212"/>
      <x:c r="Q16" s="246"/>
      <x:c r="R16" s="216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 ht="28" customHeight="1">
      <x:c r="A17" s="222"/>
      <x:c r="B17" s="212"/>
      <x:c r="C17" s="212"/>
      <x:c r="D17" s="212"/>
      <x:c r="E17" s="212"/>
      <x:c r="F17" s="212"/>
      <x:c r="G17" s="212"/>
      <x:c r="H17" s="212"/>
      <x:c r="I17" s="212"/>
      <x:c r="J17" s="243"/>
      <x:c r="K17" s="212"/>
      <x:c r="L17" s="212"/>
      <x:c r="M17" s="240"/>
      <x:c r="N17" s="212"/>
      <x:c r="O17" s="212"/>
      <x:c r="P17" s="212"/>
      <x:c r="Q17" s="246"/>
      <x:c r="R17" s="216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 ht="28" customHeight="1">
      <x:c r="A18" s="222"/>
      <x:c r="B18" s="212"/>
      <x:c r="C18" s="212"/>
      <x:c r="D18" s="212"/>
      <x:c r="E18" s="212"/>
      <x:c r="F18" s="212"/>
      <x:c r="G18" s="212"/>
      <x:c r="H18" s="212"/>
      <x:c r="I18" s="212"/>
      <x:c r="J18" s="243"/>
      <x:c r="K18" s="212"/>
      <x:c r="L18" s="212"/>
      <x:c r="M18" s="240"/>
      <x:c r="N18" s="212"/>
      <x:c r="O18" s="212"/>
      <x:c r="P18" s="212"/>
      <x:c r="Q18" s="246"/>
      <x:c r="R18" s="216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 ht="28" customHeight="1">
      <x:c r="A19" s="222"/>
      <x:c r="B19" s="212"/>
      <x:c r="C19" s="212"/>
      <x:c r="D19" s="212"/>
      <x:c r="E19" s="212"/>
      <x:c r="F19" s="212"/>
      <x:c r="G19" s="212"/>
      <x:c r="H19" s="212"/>
      <x:c r="I19" s="212"/>
      <x:c r="J19" s="243"/>
      <x:c r="K19" s="212"/>
      <x:c r="L19" s="212"/>
      <x:c r="M19" s="240"/>
      <x:c r="N19" s="212"/>
      <x:c r="O19" s="212"/>
      <x:c r="P19" s="212"/>
      <x:c r="Q19" s="246"/>
      <x:c r="R19" s="216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 ht="28" customHeight="1">
      <x:c r="A20" s="222"/>
      <x:c r="B20" s="212"/>
      <x:c r="C20" s="212"/>
      <x:c r="D20" s="212"/>
      <x:c r="E20" s="212"/>
      <x:c r="F20" s="212"/>
      <x:c r="G20" s="212"/>
      <x:c r="H20" s="212"/>
      <x:c r="I20" s="212"/>
      <x:c r="J20" s="243"/>
      <x:c r="K20" s="212"/>
      <x:c r="L20" s="212"/>
      <x:c r="M20" s="240"/>
      <x:c r="N20" s="212"/>
      <x:c r="O20" s="212"/>
      <x:c r="P20" s="212"/>
      <x:c r="Q20" s="246"/>
      <x:c r="R20" s="216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 ht="28" customHeight="1">
      <x:c r="A21" s="222"/>
      <x:c r="B21" s="212"/>
      <x:c r="C21" s="212"/>
      <x:c r="D21" s="212"/>
      <x:c r="E21" s="212"/>
      <x:c r="F21" s="212"/>
      <x:c r="G21" s="212"/>
      <x:c r="H21" s="212"/>
      <x:c r="I21" s="212"/>
      <x:c r="J21" s="243"/>
      <x:c r="K21" s="212"/>
      <x:c r="L21" s="212"/>
      <x:c r="M21" s="240"/>
      <x:c r="N21" s="212"/>
      <x:c r="O21" s="212"/>
      <x:c r="P21" s="212"/>
      <x:c r="Q21" s="246"/>
      <x:c r="R21" s="216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 ht="28" customHeight="1">
      <x:c r="A22" s="222"/>
      <x:c r="B22" s="212"/>
      <x:c r="C22" s="212"/>
      <x:c r="D22" s="212"/>
      <x:c r="E22" s="212"/>
      <x:c r="F22" s="212"/>
      <x:c r="G22" s="212"/>
      <x:c r="H22" s="212"/>
      <x:c r="I22" s="212"/>
      <x:c r="J22" s="243"/>
      <x:c r="K22" s="212"/>
      <x:c r="L22" s="212"/>
      <x:c r="M22" s="240"/>
      <x:c r="N22" s="212"/>
      <x:c r="O22" s="212"/>
      <x:c r="P22" s="212"/>
      <x:c r="Q22" s="246"/>
      <x:c r="R22" s="216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 ht="28" customHeight="1">
      <x:c r="A23" s="222"/>
      <x:c r="B23" s="212"/>
      <x:c r="C23" s="212"/>
      <x:c r="D23" s="212"/>
      <x:c r="E23" s="212"/>
      <x:c r="F23" s="212"/>
      <x:c r="G23" s="212"/>
      <x:c r="H23" s="212"/>
      <x:c r="I23" s="212"/>
      <x:c r="J23" s="243"/>
      <x:c r="K23" s="212"/>
      <x:c r="L23" s="212"/>
      <x:c r="M23" s="240"/>
      <x:c r="N23" s="212"/>
      <x:c r="O23" s="212"/>
      <x:c r="P23" s="212"/>
      <x:c r="Q23" s="246"/>
      <x:c r="R23" s="216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 ht="28" customHeight="1">
      <x:c r="A24" s="222"/>
      <x:c r="B24" s="212"/>
      <x:c r="C24" s="212"/>
      <x:c r="D24" s="212"/>
      <x:c r="E24" s="212"/>
      <x:c r="F24" s="212"/>
      <x:c r="G24" s="212"/>
      <x:c r="H24" s="212"/>
      <x:c r="I24" s="212"/>
      <x:c r="J24" s="243"/>
      <x:c r="K24" s="212"/>
      <x:c r="L24" s="212"/>
      <x:c r="M24" s="240"/>
      <x:c r="N24" s="212"/>
      <x:c r="O24" s="212"/>
      <x:c r="P24" s="212"/>
      <x:c r="Q24" s="246"/>
      <x:c r="R24" s="216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 ht="28" customHeight="1">
      <x:c r="A25" s="222"/>
      <x:c r="B25" s="212"/>
      <x:c r="C25" s="212"/>
      <x:c r="D25" s="212"/>
      <x:c r="E25" s="212"/>
      <x:c r="F25" s="212"/>
      <x:c r="G25" s="212"/>
      <x:c r="H25" s="212"/>
      <x:c r="I25" s="212"/>
      <x:c r="J25" s="243"/>
      <x:c r="K25" s="212"/>
      <x:c r="L25" s="212"/>
      <x:c r="M25" s="240"/>
      <x:c r="N25" s="212"/>
      <x:c r="O25" s="212"/>
      <x:c r="P25" s="212"/>
      <x:c r="Q25" s="246"/>
      <x:c r="R25" s="216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 ht="28" customHeight="1">
      <x:c r="A26" s="222"/>
      <x:c r="B26" s="212"/>
      <x:c r="C26" s="212"/>
      <x:c r="D26" s="212"/>
      <x:c r="E26" s="212"/>
      <x:c r="F26" s="212"/>
      <x:c r="G26" s="212"/>
      <x:c r="H26" s="212"/>
      <x:c r="I26" s="212"/>
      <x:c r="J26" s="243"/>
      <x:c r="K26" s="212"/>
      <x:c r="L26" s="212"/>
      <x:c r="M26" s="240"/>
      <x:c r="N26" s="212"/>
      <x:c r="O26" s="212"/>
      <x:c r="P26" s="212"/>
      <x:c r="Q26" s="246"/>
      <x:c r="R26" s="216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 ht="28" customHeight="1">
      <x:c r="A27" s="222"/>
      <x:c r="B27" s="212"/>
      <x:c r="C27" s="212"/>
      <x:c r="D27" s="212"/>
      <x:c r="E27" s="212"/>
      <x:c r="F27" s="212"/>
      <x:c r="G27" s="212"/>
      <x:c r="H27" s="212"/>
      <x:c r="I27" s="212"/>
      <x:c r="J27" s="243"/>
      <x:c r="K27" s="212"/>
      <x:c r="L27" s="212"/>
      <x:c r="M27" s="240"/>
      <x:c r="N27" s="212"/>
      <x:c r="O27" s="212"/>
      <x:c r="P27" s="212"/>
      <x:c r="Q27" s="246"/>
      <x:c r="R27" s="216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 ht="28" customHeight="1">
      <x:c r="A28" s="222"/>
      <x:c r="B28" s="212"/>
      <x:c r="C28" s="212"/>
      <x:c r="D28" s="212"/>
      <x:c r="E28" s="212"/>
      <x:c r="F28" s="212"/>
      <x:c r="G28" s="212"/>
      <x:c r="H28" s="212"/>
      <x:c r="I28" s="212"/>
      <x:c r="J28" s="243"/>
      <x:c r="K28" s="212"/>
      <x:c r="L28" s="212"/>
      <x:c r="M28" s="240"/>
      <x:c r="N28" s="212"/>
      <x:c r="O28" s="212"/>
      <x:c r="P28" s="212"/>
      <x:c r="Q28" s="246"/>
      <x:c r="R28" s="216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 ht="28" customHeight="1">
      <x:c r="A29" s="222"/>
      <x:c r="B29" s="212"/>
      <x:c r="C29" s="212"/>
      <x:c r="D29" s="212"/>
      <x:c r="E29" s="212"/>
      <x:c r="F29" s="212"/>
      <x:c r="G29" s="212"/>
      <x:c r="H29" s="212"/>
      <x:c r="I29" s="212"/>
      <x:c r="J29" s="243"/>
      <x:c r="K29" s="212"/>
      <x:c r="L29" s="212"/>
      <x:c r="M29" s="240"/>
      <x:c r="N29" s="212"/>
      <x:c r="O29" s="212"/>
      <x:c r="P29" s="212"/>
      <x:c r="Q29" s="246"/>
      <x:c r="R29" s="216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 ht="28" customHeight="1">
      <x:c r="A30" s="222"/>
      <x:c r="B30" s="212"/>
      <x:c r="C30" s="212"/>
      <x:c r="D30" s="212"/>
      <x:c r="E30" s="212"/>
      <x:c r="F30" s="212"/>
      <x:c r="G30" s="212"/>
      <x:c r="H30" s="212"/>
      <x:c r="I30" s="212"/>
      <x:c r="J30" s="243"/>
      <x:c r="K30" s="212"/>
      <x:c r="L30" s="212"/>
      <x:c r="M30" s="240"/>
      <x:c r="N30" s="212"/>
      <x:c r="O30" s="212"/>
      <x:c r="P30" s="212"/>
      <x:c r="Q30" s="246"/>
      <x:c r="R30" s="216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 ht="28" customHeight="1">
      <x:c r="A31" s="222"/>
      <x:c r="B31" s="212"/>
      <x:c r="C31" s="212"/>
      <x:c r="D31" s="212"/>
      <x:c r="E31" s="212"/>
      <x:c r="F31" s="212"/>
      <x:c r="G31" s="212"/>
      <x:c r="H31" s="212"/>
      <x:c r="I31" s="212"/>
      <x:c r="J31" s="243"/>
      <x:c r="K31" s="212"/>
      <x:c r="L31" s="212"/>
      <x:c r="M31" s="240"/>
      <x:c r="N31" s="212"/>
      <x:c r="O31" s="212"/>
      <x:c r="P31" s="212"/>
      <x:c r="Q31" s="246"/>
      <x:c r="R31" s="216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 ht="28" customHeight="1">
      <x:c r="A32" s="222"/>
      <x:c r="B32" s="212"/>
      <x:c r="C32" s="212"/>
      <x:c r="D32" s="212"/>
      <x:c r="E32" s="212"/>
      <x:c r="F32" s="212"/>
      <x:c r="G32" s="212"/>
      <x:c r="H32" s="212"/>
      <x:c r="I32" s="212"/>
      <x:c r="J32" s="243"/>
      <x:c r="K32" s="212"/>
      <x:c r="L32" s="212"/>
      <x:c r="M32" s="240"/>
      <x:c r="N32" s="212"/>
      <x:c r="O32" s="212"/>
      <x:c r="P32" s="212"/>
      <x:c r="Q32" s="246"/>
      <x:c r="R32" s="216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 ht="28" customHeight="1">
      <x:c r="A33" s="222"/>
      <x:c r="B33" s="212"/>
      <x:c r="C33" s="212"/>
      <x:c r="D33" s="212"/>
      <x:c r="E33" s="212"/>
      <x:c r="F33" s="212"/>
      <x:c r="G33" s="212"/>
      <x:c r="H33" s="212"/>
      <x:c r="I33" s="212"/>
      <x:c r="J33" s="243"/>
      <x:c r="K33" s="212"/>
      <x:c r="L33" s="212"/>
      <x:c r="M33" s="240"/>
      <x:c r="N33" s="212"/>
      <x:c r="O33" s="212"/>
      <x:c r="P33" s="212"/>
      <x:c r="Q33" s="246"/>
      <x:c r="R33" s="216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 ht="28" customHeight="1">
      <x:c r="A34" s="222"/>
      <x:c r="B34" s="212"/>
      <x:c r="C34" s="212"/>
      <x:c r="D34" s="212"/>
      <x:c r="E34" s="212"/>
      <x:c r="F34" s="212"/>
      <x:c r="G34" s="212"/>
      <x:c r="H34" s="212"/>
      <x:c r="I34" s="212"/>
      <x:c r="J34" s="243"/>
      <x:c r="K34" s="212"/>
      <x:c r="L34" s="212"/>
      <x:c r="M34" s="240"/>
      <x:c r="N34" s="212"/>
      <x:c r="O34" s="212"/>
      <x:c r="P34" s="212"/>
      <x:c r="Q34" s="246"/>
      <x:c r="R34" s="216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 ht="28" customHeight="1">
      <x:c r="A35" s="222"/>
      <x:c r="B35" s="212"/>
      <x:c r="C35" s="212"/>
      <x:c r="D35" s="212"/>
      <x:c r="E35" s="212"/>
      <x:c r="F35" s="212"/>
      <x:c r="G35" s="212"/>
      <x:c r="H35" s="212"/>
      <x:c r="I35" s="212"/>
      <x:c r="J35" s="243"/>
      <x:c r="K35" s="212"/>
      <x:c r="L35" s="212"/>
      <x:c r="M35" s="240"/>
      <x:c r="N35" s="212"/>
      <x:c r="O35" s="212"/>
      <x:c r="P35" s="212"/>
      <x:c r="Q35" s="246"/>
      <x:c r="R35" s="216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 ht="28" customHeight="1">
      <x:c r="A36" s="222"/>
      <x:c r="B36" s="212"/>
      <x:c r="C36" s="212"/>
      <x:c r="D36" s="212"/>
      <x:c r="E36" s="212"/>
      <x:c r="F36" s="212"/>
      <x:c r="G36" s="212"/>
      <x:c r="H36" s="212"/>
      <x:c r="I36" s="212"/>
      <x:c r="J36" s="243"/>
      <x:c r="K36" s="212"/>
      <x:c r="L36" s="212"/>
      <x:c r="M36" s="240"/>
      <x:c r="N36" s="212"/>
      <x:c r="O36" s="212"/>
      <x:c r="P36" s="212"/>
      <x:c r="Q36" s="246"/>
      <x:c r="R36" s="216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 ht="28" customHeight="1">
      <x:c r="A37" s="222"/>
      <x:c r="B37" s="212"/>
      <x:c r="C37" s="212"/>
      <x:c r="D37" s="212"/>
      <x:c r="E37" s="212"/>
      <x:c r="F37" s="212"/>
      <x:c r="G37" s="212"/>
      <x:c r="H37" s="212"/>
      <x:c r="I37" s="212"/>
      <x:c r="J37" s="243"/>
      <x:c r="K37" s="212"/>
      <x:c r="L37" s="212"/>
      <x:c r="M37" s="240"/>
      <x:c r="N37" s="212"/>
      <x:c r="O37" s="212"/>
      <x:c r="P37" s="212"/>
      <x:c r="Q37" s="246"/>
      <x:c r="R37" s="216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 ht="28" customHeight="1">
      <x:c r="A38" s="222"/>
      <x:c r="B38" s="212"/>
      <x:c r="C38" s="212"/>
      <x:c r="D38" s="212"/>
      <x:c r="E38" s="212"/>
      <x:c r="F38" s="212"/>
      <x:c r="G38" s="212"/>
      <x:c r="H38" s="212"/>
      <x:c r="I38" s="212"/>
      <x:c r="J38" s="243"/>
      <x:c r="K38" s="212"/>
      <x:c r="L38" s="212"/>
      <x:c r="M38" s="240"/>
      <x:c r="N38" s="212"/>
      <x:c r="O38" s="212"/>
      <x:c r="P38" s="212"/>
      <x:c r="Q38" s="246"/>
      <x:c r="R38" s="216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 ht="28" customHeight="1">
      <x:c r="A39" s="222"/>
      <x:c r="B39" s="212"/>
      <x:c r="C39" s="212"/>
      <x:c r="D39" s="212"/>
      <x:c r="E39" s="212"/>
      <x:c r="F39" s="212"/>
      <x:c r="G39" s="212"/>
      <x:c r="H39" s="212"/>
      <x:c r="I39" s="212"/>
      <x:c r="J39" s="243"/>
      <x:c r="K39" s="212"/>
      <x:c r="L39" s="212"/>
      <x:c r="M39" s="240"/>
      <x:c r="N39" s="212"/>
      <x:c r="O39" s="212"/>
      <x:c r="P39" s="212"/>
      <x:c r="Q39" s="246"/>
      <x:c r="R39" s="216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 ht="28" customHeight="1">
      <x:c r="A40" s="222"/>
      <x:c r="B40" s="212"/>
      <x:c r="C40" s="212"/>
      <x:c r="D40" s="212"/>
      <x:c r="E40" s="212"/>
      <x:c r="F40" s="212"/>
      <x:c r="G40" s="212"/>
      <x:c r="H40" s="212"/>
      <x:c r="I40" s="212"/>
      <x:c r="J40" s="243"/>
      <x:c r="K40" s="212"/>
      <x:c r="L40" s="212"/>
      <x:c r="M40" s="240"/>
      <x:c r="N40" s="212"/>
      <x:c r="O40" s="212"/>
      <x:c r="P40" s="212"/>
      <x:c r="Q40" s="246"/>
      <x:c r="R40" s="216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 ht="28" customHeight="1">
      <x:c r="A41" s="222"/>
      <x:c r="B41" s="212"/>
      <x:c r="C41" s="212"/>
      <x:c r="D41" s="212"/>
      <x:c r="E41" s="212"/>
      <x:c r="F41" s="212"/>
      <x:c r="G41" s="212"/>
      <x:c r="H41" s="212"/>
      <x:c r="I41" s="212"/>
      <x:c r="J41" s="243"/>
      <x:c r="K41" s="212"/>
      <x:c r="L41" s="212"/>
      <x:c r="M41" s="240"/>
      <x:c r="N41" s="212"/>
      <x:c r="O41" s="212"/>
      <x:c r="P41" s="212"/>
      <x:c r="Q41" s="246"/>
      <x:c r="R41" s="216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 ht="28" customHeight="1">
      <x:c r="A42" s="222"/>
      <x:c r="B42" s="212"/>
      <x:c r="C42" s="212"/>
      <x:c r="D42" s="212"/>
      <x:c r="E42" s="212"/>
      <x:c r="F42" s="212"/>
      <x:c r="G42" s="212"/>
      <x:c r="H42" s="212"/>
      <x:c r="I42" s="212"/>
      <x:c r="J42" s="243"/>
      <x:c r="K42" s="212"/>
      <x:c r="L42" s="212"/>
      <x:c r="M42" s="240"/>
      <x:c r="N42" s="212"/>
      <x:c r="O42" s="212"/>
      <x:c r="P42" s="212"/>
      <x:c r="Q42" s="246"/>
      <x:c r="R42" s="216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 ht="28" customHeight="1">
      <x:c r="A43" s="222"/>
      <x:c r="B43" s="212"/>
      <x:c r="C43" s="212"/>
      <x:c r="D43" s="212"/>
      <x:c r="E43" s="212"/>
      <x:c r="F43" s="212"/>
      <x:c r="G43" s="212"/>
      <x:c r="H43" s="212"/>
      <x:c r="I43" s="212"/>
      <x:c r="J43" s="243"/>
      <x:c r="K43" s="212"/>
      <x:c r="L43" s="212"/>
      <x:c r="M43" s="240"/>
      <x:c r="N43" s="212"/>
      <x:c r="O43" s="212"/>
      <x:c r="P43" s="212"/>
      <x:c r="Q43" s="246"/>
      <x:c r="R43" s="216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 ht="28" customHeight="1">
      <x:c r="A44" s="222"/>
      <x:c r="B44" s="212"/>
      <x:c r="C44" s="212"/>
      <x:c r="D44" s="212"/>
      <x:c r="E44" s="212"/>
      <x:c r="F44" s="212"/>
      <x:c r="G44" s="212"/>
      <x:c r="H44" s="212"/>
      <x:c r="I44" s="212"/>
      <x:c r="J44" s="243"/>
      <x:c r="K44" s="212"/>
      <x:c r="L44" s="212"/>
      <x:c r="M44" s="240"/>
      <x:c r="N44" s="212"/>
      <x:c r="O44" s="212"/>
      <x:c r="P44" s="212"/>
      <x:c r="Q44" s="246"/>
      <x:c r="R44" s="216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 ht="28" customHeight="1">
      <x:c r="A45" s="222"/>
      <x:c r="B45" s="212"/>
      <x:c r="C45" s="212"/>
      <x:c r="D45" s="212"/>
      <x:c r="E45" s="212"/>
      <x:c r="F45" s="212"/>
      <x:c r="G45" s="212"/>
      <x:c r="H45" s="212"/>
      <x:c r="I45" s="212"/>
      <x:c r="J45" s="243"/>
      <x:c r="K45" s="212"/>
      <x:c r="L45" s="212"/>
      <x:c r="M45" s="240"/>
      <x:c r="N45" s="212"/>
      <x:c r="O45" s="212"/>
      <x:c r="P45" s="212"/>
      <x:c r="Q45" s="246"/>
      <x:c r="R45" s="216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 ht="28" customHeight="1">
      <x:c r="A46" s="222"/>
      <x:c r="B46" s="212"/>
      <x:c r="C46" s="212"/>
      <x:c r="D46" s="212"/>
      <x:c r="E46" s="212"/>
      <x:c r="F46" s="212"/>
      <x:c r="G46" s="212"/>
      <x:c r="H46" s="212"/>
      <x:c r="I46" s="212"/>
      <x:c r="J46" s="243"/>
      <x:c r="K46" s="212"/>
      <x:c r="L46" s="212"/>
      <x:c r="M46" s="240"/>
      <x:c r="N46" s="212"/>
      <x:c r="O46" s="212"/>
      <x:c r="P46" s="212"/>
      <x:c r="Q46" s="246"/>
      <x:c r="R46" s="216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 ht="28" customHeight="1">
      <x:c r="A47" s="222"/>
      <x:c r="B47" s="212"/>
      <x:c r="C47" s="212"/>
      <x:c r="D47" s="212"/>
      <x:c r="E47" s="212"/>
      <x:c r="F47" s="212"/>
      <x:c r="G47" s="212"/>
      <x:c r="H47" s="212"/>
      <x:c r="I47" s="212"/>
      <x:c r="J47" s="243"/>
      <x:c r="K47" s="212"/>
      <x:c r="L47" s="212"/>
      <x:c r="M47" s="240"/>
      <x:c r="N47" s="212"/>
      <x:c r="O47" s="212"/>
      <x:c r="P47" s="212"/>
      <x:c r="Q47" s="246"/>
      <x:c r="R47" s="216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 ht="28" customHeight="1">
      <x:c r="A48" s="222"/>
      <x:c r="B48" s="212"/>
      <x:c r="C48" s="212"/>
      <x:c r="D48" s="212"/>
      <x:c r="E48" s="212"/>
      <x:c r="F48" s="212"/>
      <x:c r="G48" s="212"/>
      <x:c r="H48" s="212"/>
      <x:c r="I48" s="212"/>
      <x:c r="J48" s="243"/>
      <x:c r="K48" s="212"/>
      <x:c r="L48" s="212"/>
      <x:c r="M48" s="240"/>
      <x:c r="N48" s="212"/>
      <x:c r="O48" s="212"/>
      <x:c r="P48" s="212"/>
      <x:c r="Q48" s="246"/>
      <x:c r="R48" s="216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 ht="28" customHeight="1">
      <x:c r="A49" s="222"/>
      <x:c r="B49" s="212"/>
      <x:c r="C49" s="212"/>
      <x:c r="D49" s="212"/>
      <x:c r="E49" s="212"/>
      <x:c r="F49" s="212"/>
      <x:c r="G49" s="212"/>
      <x:c r="H49" s="212"/>
      <x:c r="I49" s="212"/>
      <x:c r="J49" s="243"/>
      <x:c r="K49" s="212"/>
      <x:c r="L49" s="212"/>
      <x:c r="M49" s="240"/>
      <x:c r="N49" s="212"/>
      <x:c r="O49" s="212"/>
      <x:c r="P49" s="212"/>
      <x:c r="Q49" s="246"/>
      <x:c r="R49" s="216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 ht="28" customHeight="1">
      <x:c r="A50" s="222"/>
      <x:c r="B50" s="212"/>
      <x:c r="C50" s="212"/>
      <x:c r="D50" s="212"/>
      <x:c r="E50" s="212"/>
      <x:c r="F50" s="212"/>
      <x:c r="G50" s="212"/>
      <x:c r="H50" s="212"/>
      <x:c r="I50" s="212"/>
      <x:c r="J50" s="243"/>
      <x:c r="K50" s="212"/>
      <x:c r="L50" s="212"/>
      <x:c r="M50" s="240"/>
      <x:c r="N50" s="212"/>
      <x:c r="O50" s="212"/>
      <x:c r="P50" s="212"/>
      <x:c r="Q50" s="246"/>
      <x:c r="R50" s="216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 ht="28" customHeight="1">
      <x:c r="A51" s="222"/>
      <x:c r="B51" s="212"/>
      <x:c r="C51" s="212"/>
      <x:c r="D51" s="212"/>
      <x:c r="E51" s="212"/>
      <x:c r="F51" s="212"/>
      <x:c r="G51" s="212"/>
      <x:c r="H51" s="212"/>
      <x:c r="I51" s="212"/>
      <x:c r="J51" s="243"/>
      <x:c r="K51" s="212"/>
      <x:c r="L51" s="212"/>
      <x:c r="M51" s="240"/>
      <x:c r="N51" s="212"/>
      <x:c r="O51" s="212"/>
      <x:c r="P51" s="212"/>
      <x:c r="Q51" s="246"/>
      <x:c r="R51" s="216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 ht="28" customHeight="1">
      <x:c r="A52" s="222"/>
      <x:c r="B52" s="212"/>
      <x:c r="C52" s="212"/>
      <x:c r="D52" s="212"/>
      <x:c r="E52" s="212"/>
      <x:c r="F52" s="212"/>
      <x:c r="G52" s="212"/>
      <x:c r="H52" s="212"/>
      <x:c r="I52" s="212"/>
      <x:c r="J52" s="243"/>
      <x:c r="K52" s="212"/>
      <x:c r="L52" s="212"/>
      <x:c r="M52" s="240"/>
      <x:c r="N52" s="212"/>
      <x:c r="O52" s="212"/>
      <x:c r="P52" s="212"/>
      <x:c r="Q52" s="246"/>
      <x:c r="R52" s="216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 ht="28" customHeight="1">
      <x:c r="A53" s="222"/>
      <x:c r="B53" s="212"/>
      <x:c r="C53" s="212"/>
      <x:c r="D53" s="212"/>
      <x:c r="E53" s="212"/>
      <x:c r="F53" s="212"/>
      <x:c r="G53" s="212"/>
      <x:c r="H53" s="212"/>
      <x:c r="I53" s="212"/>
      <x:c r="J53" s="243"/>
      <x:c r="K53" s="212"/>
      <x:c r="L53" s="212"/>
      <x:c r="M53" s="240"/>
      <x:c r="N53" s="212"/>
      <x:c r="O53" s="212"/>
      <x:c r="P53" s="212"/>
      <x:c r="Q53" s="246"/>
      <x:c r="R53" s="216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 ht="28" customHeight="1">
      <x:c r="A54" s="222"/>
      <x:c r="B54" s="212"/>
      <x:c r="C54" s="212"/>
      <x:c r="D54" s="212"/>
      <x:c r="E54" s="212"/>
      <x:c r="F54" s="212"/>
      <x:c r="G54" s="212"/>
      <x:c r="H54" s="212"/>
      <x:c r="I54" s="212"/>
      <x:c r="J54" s="243"/>
      <x:c r="K54" s="212"/>
      <x:c r="L54" s="212"/>
      <x:c r="M54" s="240"/>
      <x:c r="N54" s="212"/>
      <x:c r="O54" s="212"/>
      <x:c r="P54" s="212"/>
      <x:c r="Q54" s="246"/>
      <x:c r="R54" s="216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 ht="28" customHeight="1">
      <x:c r="A55" s="223"/>
      <x:c r="B55" s="214"/>
      <x:c r="C55" s="214"/>
      <x:c r="D55" s="214"/>
      <x:c r="E55" s="214"/>
      <x:c r="F55" s="214"/>
      <x:c r="G55" s="214"/>
      <x:c r="H55" s="214"/>
      <x:c r="I55" s="214"/>
      <x:c r="J55" s="244"/>
      <x:c r="K55" s="214"/>
      <x:c r="L55" s="214"/>
      <x:c r="M55" s="241"/>
      <x:c r="N55" s="214"/>
      <x:c r="O55" s="214"/>
      <x:c r="P55" s="214"/>
      <x:c r="Q55" s="247"/>
      <x:c r="R55" s="217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R2"/>
    <x:mergeCell ref="A3:R3"/>
  </x:mergeCells>
  <x:conditionalFormatting sqref="C6:C55">
    <x:cfRule type="containsText" dxfId="15" priority="1" operator="containsText" text="红"/>
    <x:cfRule type="containsText" dxfId="16" priority="2" operator="containsText" text="黄"/>
    <x:cfRule type="containsText" dxfId="17" priority="3" operator="containsText" text="蓝"/>
  </x:conditionalFormatting>
  <x:conditionalFormatting sqref="I6:I55">
    <x:cfRule type="containsText" dxfId="18" priority="4" operator="containsText" text="正常"/>
    <x:cfRule type="containsText" dxfId="19" priority="5" operator="containsText" text="已完成"/>
    <x:cfRule type="containsText" dxfId="20" priority="6" operator="containsText" text="关注"/>
    <x:cfRule type="containsText" dxfId="21" priority="7" operator="containsText" text="预警"/>
    <x:cfRule type="containsText" dxfId="22" priority="8" operator="containsText" text="逾期"/>
  </x:conditionalFormatting>
  <x:dataValidations count="4">
    <x:dataValidation type="list" sqref="B6:B55">
      <x:formula1>"重点事项,风险预警,协调事项,老板决策"</x:formula1>
    </x:dataValidation>
    <x:dataValidation type="list" sqref="C6:C55">
      <x:formula1>"红,黄,蓝"</x:formula1>
    </x:dataValidation>
    <x:dataValidation type="list" sqref="I6:I55">
      <x:formula1>"待处理,进行中,有风险,预警,已完成,已关闭"</x:formula1>
    </x:dataValidation>
    <x:dataValidation type="list" sqref="N6:N55">
      <x:formula1>"是,否"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4" hidden="0" customWidth="1"/>
    <x:col min="4" max="4" width="16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28" hidden="0" customWidth="1"/>
    <x:col min="12" max="12" width="36" hidden="0" customWidth="1"/>
    <x:col min="13" max="13" width="16" hidden="0" customWidth="1"/>
    <x:col min="14" max="14" width="12" hidden="0" customWidth="1"/>
    <x:col min="15" max="15" width="20" hidden="0" customWidth="1"/>
    <x:col min="16" max="16" width="20" hidden="0" customWidth="1"/>
  </x:cols>
  <x:sheetData>
    <x:row r="1" ht="34" customHeight="1">
      <x:c r="A1" s="16" t="str">
        <x:v>内容传播采集
用于呈现门店内容发布、传播效果和有效链接，不进入销售额合计</x:v>
      </x:c>
      <x:c r="B1" s="17" t="str">
        <x:v>内容传播采集
用于呈现门店内容发布、传播效果和有效链接，不进入销售额合计</x:v>
      </x:c>
      <x:c r="C1" s="17" t="str">
        <x:v>内容传播采集
用于呈现门店内容发布、传播效果和有效链接，不进入销售额合计</x:v>
      </x:c>
      <x:c r="D1" s="17" t="str">
        <x:v>内容传播采集
用于呈现门店内容发布、传播效果和有效链接，不进入销售额合计</x:v>
      </x:c>
      <x:c r="E1" s="17" t="str">
        <x:v>内容传播采集
用于呈现门店内容发布、传播效果和有效链接，不进入销售额合计</x:v>
      </x:c>
      <x:c r="F1" s="17" t="str">
        <x:v>内容传播采集
用于呈现门店内容发布、传播效果和有效链接，不进入销售额合计</x:v>
      </x:c>
      <x:c r="G1" s="17" t="str">
        <x:v>内容传播采集
用于呈现门店内容发布、传播效果和有效链接，不进入销售额合计</x:v>
      </x:c>
      <x:c r="H1" s="17" t="str">
        <x:v>内容传播采集
用于呈现门店内容发布、传播效果和有效链接，不进入销售额合计</x:v>
      </x:c>
      <x:c r="I1" s="17" t="str">
        <x:v>内容传播采集
用于呈现门店内容发布、传播效果和有效链接，不进入销售额合计</x:v>
      </x:c>
      <x:c r="J1" s="17" t="str">
        <x:v>内容传播采集
用于呈现门店内容发布、传播效果和有效链接，不进入销售额合计</x:v>
      </x:c>
      <x:c r="K1" s="17" t="str">
        <x:v>内容传播采集
用于呈现门店内容发布、传播效果和有效链接，不进入销售额合计</x:v>
      </x:c>
      <x:c r="L1" s="17" t="str">
        <x:v>内容传播采集
用于呈现门店内容发布、传播效果和有效链接，不进入销售额合计</x:v>
      </x:c>
      <x:c r="M1" s="17" t="str">
        <x:v>内容传播采集
用于呈现门店内容发布、传播效果和有效链接，不进入销售额合计</x:v>
      </x:c>
      <x:c r="N1" s="17" t="str">
        <x:v>内容传播采集
用于呈现门店内容发布、传播效果和有效链接，不进入销售额合计</x:v>
      </x:c>
      <x:c r="O1" s="17" t="str">
        <x:v>内容传播采集
用于呈现门店内容发布、传播效果和有效链接，不进入销售额合计</x:v>
      </x:c>
      <x:c r="P1" s="18" t="str">
        <x:v>内容传播采集
用于呈现门店内容发布、传播效果和有效链接，不进入销售额合计</x:v>
      </x:c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内容传播采集
用于呈现门店内容发布、传播效果和有效链接，不进入销售额合计</x:v>
      </x:c>
      <x:c r="B2" s="20" t="str">
        <x:v>内容传播采集
用于呈现门店内容发布、传播效果和有效链接，不进入销售额合计</x:v>
      </x:c>
      <x:c r="C2" s="20" t="str">
        <x:v>内容传播采集
用于呈现门店内容发布、传播效果和有效链接，不进入销售额合计</x:v>
      </x:c>
      <x:c r="D2" s="20" t="str">
        <x:v>内容传播采集
用于呈现门店内容发布、传播效果和有效链接，不进入销售额合计</x:v>
      </x:c>
      <x:c r="E2" s="20" t="str">
        <x:v>内容传播采集
用于呈现门店内容发布、传播效果和有效链接，不进入销售额合计</x:v>
      </x:c>
      <x:c r="F2" s="20" t="str">
        <x:v>内容传播采集
用于呈现门店内容发布、传播效果和有效链接，不进入销售额合计</x:v>
      </x:c>
      <x:c r="G2" s="20" t="str">
        <x:v>内容传播采集
用于呈现门店内容发布、传播效果和有效链接，不进入销售额合计</x:v>
      </x:c>
      <x:c r="H2" s="20" t="str">
        <x:v>内容传播采集
用于呈现门店内容发布、传播效果和有效链接，不进入销售额合计</x:v>
      </x:c>
      <x:c r="I2" s="20" t="str">
        <x:v>内容传播采集
用于呈现门店内容发布、传播效果和有效链接，不进入销售额合计</x:v>
      </x:c>
      <x:c r="J2" s="20" t="str">
        <x:v>内容传播采集
用于呈现门店内容发布、传播效果和有效链接，不进入销售额合计</x:v>
      </x:c>
      <x:c r="K2" s="20" t="str">
        <x:v>内容传播采集
用于呈现门店内容发布、传播效果和有效链接，不进入销售额合计</x:v>
      </x:c>
      <x:c r="L2" s="20" t="str">
        <x:v>内容传播采集
用于呈现门店内容发布、传播效果和有效链接，不进入销售额合计</x:v>
      </x:c>
      <x:c r="M2" s="20" t="str">
        <x:v>内容传播采集
用于呈现门店内容发布、传播效果和有效链接，不进入销售额合计</x:v>
      </x:c>
      <x:c r="N2" s="20" t="str">
        <x:v>内容传播采集
用于呈现门店内容发布、传播效果和有效链接，不进入销售额合计</x:v>
      </x:c>
      <x:c r="O2" s="20" t="str">
        <x:v>内容传播采集
用于呈现门店内容发布、传播效果和有效链接，不进入销售额合计</x:v>
      </x:c>
      <x:c r="P2" s="21" t="str">
        <x:v>内容传播采集
用于呈现门店内容发布、传播效果和有效链接，不进入销售额合计</x:v>
      </x:c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按账号或门店汇总填写。链接必须为完整http/https地址；同一内容多平台发布需分行填写。互动率由点赞、收藏、评论、分享合计除以浏览/播放量自动计算。</x:v>
      </x:c>
      <x:c r="B3" s="31" t="str">
        <x:v>按账号或门店汇总填写。链接必须为完整http/https地址；同一内容多平台发布需分行填写。互动率由点赞、收藏、评论、分享合计除以浏览/播放量自动计算。</x:v>
      </x:c>
      <x:c r="C3" s="31" t="str">
        <x:v>按账号或门店汇总填写。链接必须为完整http/https地址；同一内容多平台发布需分行填写。互动率由点赞、收藏、评论、分享合计除以浏览/播放量自动计算。</x:v>
      </x:c>
      <x:c r="D3" s="31" t="str">
        <x:v>按账号或门店汇总填写。链接必须为完整http/https地址；同一内容多平台发布需分行填写。互动率由点赞、收藏、评论、分享合计除以浏览/播放量自动计算。</x:v>
      </x:c>
      <x:c r="E3" s="31" t="str">
        <x:v>按账号或门店汇总填写。链接必须为完整http/https地址；同一内容多平台发布需分行填写。互动率由点赞、收藏、评论、分享合计除以浏览/播放量自动计算。</x:v>
      </x:c>
      <x:c r="F3" s="31" t="str">
        <x:v>按账号或门店汇总填写。链接必须为完整http/https地址；同一内容多平台发布需分行填写。互动率由点赞、收藏、评论、分享合计除以浏览/播放量自动计算。</x:v>
      </x:c>
      <x:c r="G3" s="31" t="str">
        <x:v>按账号或门店汇总填写。链接必须为完整http/https地址；同一内容多平台发布需分行填写。互动率由点赞、收藏、评论、分享合计除以浏览/播放量自动计算。</x:v>
      </x:c>
      <x:c r="H3" s="31" t="str">
        <x:v>按账号或门店汇总填写。链接必须为完整http/https地址；同一内容多平台发布需分行填写。互动率由点赞、收藏、评论、分享合计除以浏览/播放量自动计算。</x:v>
      </x:c>
      <x:c r="I3" s="31" t="str">
        <x:v>按账号或门店汇总填写。链接必须为完整http/https地址；同一内容多平台发布需分行填写。互动率由点赞、收藏、评论、分享合计除以浏览/播放量自动计算。</x:v>
      </x:c>
      <x:c r="J3" s="31" t="str">
        <x:v>按账号或门店汇总填写。链接必须为完整http/https地址；同一内容多平台发布需分行填写。互动率由点赞、收藏、评论、分享合计除以浏览/播放量自动计算。</x:v>
      </x:c>
      <x:c r="K3" s="31" t="str">
        <x:v>按账号或门店汇总填写。链接必须为完整http/https地址；同一内容多平台发布需分行填写。互动率由点赞、收藏、评论、分享合计除以浏览/播放量自动计算。</x:v>
      </x:c>
      <x:c r="L3" s="31" t="str">
        <x:v>按账号或门店汇总填写。链接必须为完整http/https地址；同一内容多平台发布需分行填写。互动率由点赞、收藏、评论、分享合计除以浏览/播放量自动计算。</x:v>
      </x:c>
      <x:c r="M3" s="31" t="str">
        <x:v>按账号或门店汇总填写。链接必须为完整http/https地址；同一内容多平台发布需分行填写。互动率由点赞、收藏、评论、分享合计除以浏览/播放量自动计算。</x:v>
      </x:c>
      <x:c r="N3" s="31" t="str">
        <x:v>按账号或门店汇总填写。链接必须为完整http/https地址；同一内容多平台发布需分行填写。互动率由点赞、收藏、评论、分享合计除以浏览/播放量自动计算。</x:v>
      </x:c>
      <x:c r="O3" s="31" t="str">
        <x:v>按账号或门店汇总填写。链接必须为完整http/https地址；同一内容多平台发布需分行填写。互动率由点赞、收藏、评论、分享合计除以浏览/播放量自动计算。</x:v>
      </x:c>
      <x:c r="P3" s="32" t="str">
        <x:v>按账号或门店汇总填写。链接必须为完整http/https地址；同一内容多平台发布需分行填写。互动率由点赞、收藏、评论、分享合计除以浏览/播放量自动计算。</x:v>
      </x:c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34" customHeight="1">
      <x:c r="A5" s="129" t="str">
        <x:v>报告日期</x:v>
      </x:c>
      <x:c r="B5" s="130" t="str">
        <x:v>平台</x:v>
      </x:c>
      <x:c r="C5" s="130" t="str">
        <x:v>门店/账号</x:v>
      </x:c>
      <x:c r="D5" s="130" t="str">
        <x:v>浏览/播放量</x:v>
      </x:c>
      <x:c r="E5" s="130" t="str">
        <x:v>点赞量</x:v>
      </x:c>
      <x:c r="F5" s="130" t="str">
        <x:v>收藏量</x:v>
      </x:c>
      <x:c r="G5" s="130" t="str">
        <x:v>评论量</x:v>
      </x:c>
      <x:c r="H5" s="130" t="str">
        <x:v>分享量</x:v>
      </x:c>
      <x:c r="I5" s="130" t="str">
        <x:v>发布数量</x:v>
      </x:c>
      <x:c r="J5" s="130" t="str">
        <x:v>互动率</x:v>
      </x:c>
      <x:c r="K5" s="130" t="str">
        <x:v>重点内容</x:v>
      </x:c>
      <x:c r="L5" s="130" t="str">
        <x:v>内容链接</x:v>
      </x:c>
      <x:c r="M5" s="130" t="str">
        <x:v>负责人</x:v>
      </x:c>
      <x:c r="N5" s="130" t="str">
        <x:v>状态</x:v>
      </x:c>
      <x:c r="O5" s="130" t="str">
        <x:v>数据来源</x:v>
      </x:c>
      <x:c r="P5" s="131" t="str">
        <x:v>更新时间</x:v>
      </x:c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 ht="28" customHeight="1">
      <x:c r="A6" s="221" t="n">
        <x:v>46242</x:v>
      </x:c>
      <x:c r="B6" s="210" t="str">
        <x:v>小红书</x:v>
      </x:c>
      <x:c r="C6" s="210" t="str">
        <x:v>镇江苏宁广场店</x:v>
      </x:c>
      <x:c r="D6" s="210" t="n">
        <x:v>18600</x:v>
      </x:c>
      <x:c r="E6" s="210" t="n">
        <x:v>763</x:v>
      </x:c>
      <x:c r="F6" s="210" t="n">
        <x:v>148</x:v>
      </x:c>
      <x:c r="G6" s="210" t="n">
        <x:v>79</x:v>
      </x:c>
      <x:c r="H6" s="210" t="n">
        <x:v>36</x:v>
      </x:c>
      <x:c r="I6" s="210" t="n">
        <x:v>2</x:v>
      </x:c>
      <x:c r="J6" s="227" t="n">
        <x:f>IF(C6="","",IFERROR(SUM(E6:H6)/D6,0))</x:f>
        <x:v>0.055161290322580644</x:v>
      </x:c>
      <x:c r="K6" s="210" t="str">
        <x:v>开业焕新探店</x:v>
      </x:c>
      <x:c r="L6" s="210" t="str">
        <x:v>https://www.xiaohongshu.com/</x:v>
      </x:c>
      <x:c r="M6" s="210" t="str">
        <x:v>沈露奇</x:v>
      </x:c>
      <x:c r="N6" s="210" t="str">
        <x:v>正常</x:v>
      </x:c>
      <x:c r="O6" s="210" t="str">
        <x:v>小红书后台</x:v>
      </x:c>
      <x:c r="P6" s="236" t="n">
        <x:v>46242.0125</x:v>
      </x:c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28" customHeight="1">
      <x:c r="A7" s="222" t="n">
        <x:v>46242</x:v>
      </x:c>
      <x:c r="B7" s="212" t="str">
        <x:v>抖音</x:v>
      </x:c>
      <x:c r="C7" s="212" t="str">
        <x:v>无锡苏宁广场店</x:v>
      </x:c>
      <x:c r="D7" s="212" t="n">
        <x:v>26800</x:v>
      </x:c>
      <x:c r="E7" s="212" t="n">
        <x:v>1186</x:v>
      </x:c>
      <x:c r="F7" s="212" t="n">
        <x:v>205</x:v>
      </x:c>
      <x:c r="G7" s="212" t="n">
        <x:v>96</x:v>
      </x:c>
      <x:c r="H7" s="212" t="n">
        <x:v>58</x:v>
      </x:c>
      <x:c r="I7" s="212" t="n">
        <x:v>2</x:v>
      </x:c>
      <x:c r="J7" s="228" t="n">
        <x:f>IF(C7="","",IFERROR(SUM(E7:H7)/D7,0))</x:f>
        <x:v>0.05764925373134328</x:v>
      </x:c>
      <x:c r="K7" s="212" t="str">
        <x:v>iPhone拍照技巧</x:v>
      </x:c>
      <x:c r="L7" s="212" t="str">
        <x:v>https://www.douyin.com/</x:v>
      </x:c>
      <x:c r="M7" s="212" t="str">
        <x:v>沈露奇</x:v>
      </x:c>
      <x:c r="N7" s="212" t="str">
        <x:v>正常</x:v>
      </x:c>
      <x:c r="O7" s="212" t="str">
        <x:v>抖音后台</x:v>
      </x:c>
      <x:c r="P7" s="237" t="n">
        <x:v>46242.013194444444</x:v>
      </x:c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28" customHeight="1">
      <x:c r="A8" s="222" t="n">
        <x:v>46242</x:v>
      </x:c>
      <x:c r="B8" s="212" t="str">
        <x:v>视频号</x:v>
      </x:c>
      <x:c r="C8" s="212" t="str">
        <x:v>宿州苏宁广场店</x:v>
      </x:c>
      <x:c r="D8" s="212" t="n">
        <x:v>12100</x:v>
      </x:c>
      <x:c r="E8" s="212" t="n">
        <x:v>438</x:v>
      </x:c>
      <x:c r="F8" s="212" t="n">
        <x:v>79</x:v>
      </x:c>
      <x:c r="G8" s="212" t="n">
        <x:v>42</x:v>
      </x:c>
      <x:c r="H8" s="212" t="n">
        <x:v>21</x:v>
      </x:c>
      <x:c r="I8" s="212" t="n">
        <x:v>1</x:v>
      </x:c>
      <x:c r="J8" s="228" t="n">
        <x:f>IF(C8="","",IFERROR(SUM(E8:H8)/D8,0))</x:f>
        <x:v>0.047933884297520664</x:v>
      </x:c>
      <x:c r="K8" s="212" t="str">
        <x:v>门店新品体验</x:v>
      </x:c>
      <x:c r="L8" s="212" t="str">
        <x:v>https://channels.weixin.qq.com/</x:v>
      </x:c>
      <x:c r="M8" s="212" t="str">
        <x:v>门店运营</x:v>
      </x:c>
      <x:c r="N8" s="212" t="str">
        <x:v>正常</x:v>
      </x:c>
      <x:c r="O8" s="212" t="str">
        <x:v>视频号后台</x:v>
      </x:c>
      <x:c r="P8" s="237" t="n">
        <x:v>46242.01388888889</x:v>
      </x:c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28" customHeight="1">
      <x:c r="A9" s="222" t="n">
        <x:v>46242</x:v>
      </x:c>
      <x:c r="B9" s="212" t="str">
        <x:v>小红书</x:v>
      </x:c>
      <x:c r="C9" s="212" t="str">
        <x:v>徐州彭城苏宁广场店</x:v>
      </x:c>
      <x:c r="D9" s="212" t="n">
        <x:v>0</x:v>
      </x:c>
      <x:c r="E9" s="212" t="n">
        <x:v>0</x:v>
      </x:c>
      <x:c r="F9" s="212" t="n">
        <x:v>0</x:v>
      </x:c>
      <x:c r="G9" s="212" t="n">
        <x:v>0</x:v>
      </x:c>
      <x:c r="H9" s="212" t="n">
        <x:v>0</x:v>
      </x:c>
      <x:c r="I9" s="212" t="n">
        <x:v>0</x:v>
      </x:c>
      <x:c r="J9" s="228" t="n">
        <x:f>IF(C9="","",IFERROR(SUM(E9:H9)/D9,0))</x:f>
        <x:v>0</x:v>
      </x:c>
      <x:c r="K9" s="212" t="str">
        <x:v>待补发布</x:v>
      </x:c>
      <x:c r="L9" s="212" t="str"/>
      <x:c r="M9" s="212" t="str">
        <x:v>门店运营</x:v>
      </x:c>
      <x:c r="N9" s="212" t="str">
        <x:v>关注</x:v>
      </x:c>
      <x:c r="O9" s="212" t="str">
        <x:v>门店反馈</x:v>
      </x:c>
      <x:c r="P9" s="237" t="n">
        <x:v>46242.01388888889</x:v>
      </x:c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28" customHeight="1">
      <x:c r="A10" s="222"/>
      <x:c r="B10" s="212"/>
      <x:c r="C10" s="212"/>
      <x:c r="D10" s="212"/>
      <x:c r="E10" s="212"/>
      <x:c r="F10" s="212"/>
      <x:c r="G10" s="212"/>
      <x:c r="H10" s="212"/>
      <x:c r="I10" s="212"/>
      <x:c r="J10" s="228" t="str">
        <x:f>IF(C10="","",IFERROR(SUM(E10:H10)/D10,0))</x:f>
      </x:c>
      <x:c r="K10" s="212"/>
      <x:c r="L10" s="212"/>
      <x:c r="M10" s="212"/>
      <x:c r="N10" s="212"/>
      <x:c r="O10" s="212"/>
      <x:c r="P10" s="237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 ht="28" customHeight="1">
      <x:c r="A11" s="222"/>
      <x:c r="B11" s="212"/>
      <x:c r="C11" s="212"/>
      <x:c r="D11" s="212"/>
      <x:c r="E11" s="212"/>
      <x:c r="F11" s="212"/>
      <x:c r="G11" s="212"/>
      <x:c r="H11" s="212"/>
      <x:c r="I11" s="212"/>
      <x:c r="J11" s="228" t="str">
        <x:f>IF(C11="","",IFERROR(SUM(E11:H11)/D11,0))</x:f>
      </x:c>
      <x:c r="K11" s="212"/>
      <x:c r="L11" s="212"/>
      <x:c r="M11" s="212"/>
      <x:c r="N11" s="212"/>
      <x:c r="O11" s="212"/>
      <x:c r="P11" s="237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28" customHeight="1">
      <x:c r="A12" s="222"/>
      <x:c r="B12" s="212"/>
      <x:c r="C12" s="212"/>
      <x:c r="D12" s="212"/>
      <x:c r="E12" s="212"/>
      <x:c r="F12" s="212"/>
      <x:c r="G12" s="212"/>
      <x:c r="H12" s="212"/>
      <x:c r="I12" s="212"/>
      <x:c r="J12" s="228" t="str">
        <x:f>IF(C12="","",IFERROR(SUM(E12:H12)/D12,0))</x:f>
      </x:c>
      <x:c r="K12" s="212"/>
      <x:c r="L12" s="212"/>
      <x:c r="M12" s="212"/>
      <x:c r="N12" s="212"/>
      <x:c r="O12" s="212"/>
      <x:c r="P12" s="237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 ht="28" customHeight="1">
      <x:c r="A13" s="222"/>
      <x:c r="B13" s="212"/>
      <x:c r="C13" s="212"/>
      <x:c r="D13" s="212"/>
      <x:c r="E13" s="212"/>
      <x:c r="F13" s="212"/>
      <x:c r="G13" s="212"/>
      <x:c r="H13" s="212"/>
      <x:c r="I13" s="212"/>
      <x:c r="J13" s="228" t="str">
        <x:f>IF(C13="","",IFERROR(SUM(E13:H13)/D13,0))</x:f>
      </x:c>
      <x:c r="K13" s="212"/>
      <x:c r="L13" s="212"/>
      <x:c r="M13" s="212"/>
      <x:c r="N13" s="212"/>
      <x:c r="O13" s="212"/>
      <x:c r="P13" s="237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 ht="28" customHeight="1">
      <x:c r="A14" s="222"/>
      <x:c r="B14" s="212"/>
      <x:c r="C14" s="212"/>
      <x:c r="D14" s="212"/>
      <x:c r="E14" s="212"/>
      <x:c r="F14" s="212"/>
      <x:c r="G14" s="212"/>
      <x:c r="H14" s="212"/>
      <x:c r="I14" s="212"/>
      <x:c r="J14" s="228" t="str">
        <x:f>IF(C14="","",IFERROR(SUM(E14:H14)/D14,0))</x:f>
      </x:c>
      <x:c r="K14" s="212"/>
      <x:c r="L14" s="212"/>
      <x:c r="M14" s="212"/>
      <x:c r="N14" s="212"/>
      <x:c r="O14" s="212"/>
      <x:c r="P14" s="237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 ht="28" customHeight="1">
      <x:c r="A15" s="222"/>
      <x:c r="B15" s="212"/>
      <x:c r="C15" s="212"/>
      <x:c r="D15" s="212"/>
      <x:c r="E15" s="212"/>
      <x:c r="F15" s="212"/>
      <x:c r="G15" s="212"/>
      <x:c r="H15" s="212"/>
      <x:c r="I15" s="212"/>
      <x:c r="J15" s="228" t="str">
        <x:f>IF(C15="","",IFERROR(SUM(E15:H15)/D15,0))</x:f>
      </x:c>
      <x:c r="K15" s="212"/>
      <x:c r="L15" s="212"/>
      <x:c r="M15" s="212"/>
      <x:c r="N15" s="212"/>
      <x:c r="O15" s="212"/>
      <x:c r="P15" s="237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 ht="28" customHeight="1">
      <x:c r="A16" s="222"/>
      <x:c r="B16" s="212"/>
      <x:c r="C16" s="212"/>
      <x:c r="D16" s="212"/>
      <x:c r="E16" s="212"/>
      <x:c r="F16" s="212"/>
      <x:c r="G16" s="212"/>
      <x:c r="H16" s="212"/>
      <x:c r="I16" s="212"/>
      <x:c r="J16" s="228" t="str">
        <x:f>IF(C16="","",IFERROR(SUM(E16:H16)/D16,0))</x:f>
      </x:c>
      <x:c r="K16" s="212"/>
      <x:c r="L16" s="212"/>
      <x:c r="M16" s="212"/>
      <x:c r="N16" s="212"/>
      <x:c r="O16" s="212"/>
      <x:c r="P16" s="237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 ht="28" customHeight="1">
      <x:c r="A17" s="222"/>
      <x:c r="B17" s="212"/>
      <x:c r="C17" s="212"/>
      <x:c r="D17" s="212"/>
      <x:c r="E17" s="212"/>
      <x:c r="F17" s="212"/>
      <x:c r="G17" s="212"/>
      <x:c r="H17" s="212"/>
      <x:c r="I17" s="212"/>
      <x:c r="J17" s="228" t="str">
        <x:f>IF(C17="","",IFERROR(SUM(E17:H17)/D17,0))</x:f>
      </x:c>
      <x:c r="K17" s="212"/>
      <x:c r="L17" s="212"/>
      <x:c r="M17" s="212"/>
      <x:c r="N17" s="212"/>
      <x:c r="O17" s="212"/>
      <x:c r="P17" s="237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 ht="28" customHeight="1">
      <x:c r="A18" s="222"/>
      <x:c r="B18" s="212"/>
      <x:c r="C18" s="212"/>
      <x:c r="D18" s="212"/>
      <x:c r="E18" s="212"/>
      <x:c r="F18" s="212"/>
      <x:c r="G18" s="212"/>
      <x:c r="H18" s="212"/>
      <x:c r="I18" s="212"/>
      <x:c r="J18" s="228" t="str">
        <x:f>IF(C18="","",IFERROR(SUM(E18:H18)/D18,0))</x:f>
      </x:c>
      <x:c r="K18" s="212"/>
      <x:c r="L18" s="212"/>
      <x:c r="M18" s="212"/>
      <x:c r="N18" s="212"/>
      <x:c r="O18" s="212"/>
      <x:c r="P18" s="237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 ht="28" customHeight="1">
      <x:c r="A19" s="222"/>
      <x:c r="B19" s="212"/>
      <x:c r="C19" s="212"/>
      <x:c r="D19" s="212"/>
      <x:c r="E19" s="212"/>
      <x:c r="F19" s="212"/>
      <x:c r="G19" s="212"/>
      <x:c r="H19" s="212"/>
      <x:c r="I19" s="212"/>
      <x:c r="J19" s="228" t="str">
        <x:f>IF(C19="","",IFERROR(SUM(E19:H19)/D19,0))</x:f>
      </x:c>
      <x:c r="K19" s="212"/>
      <x:c r="L19" s="212"/>
      <x:c r="M19" s="212"/>
      <x:c r="N19" s="212"/>
      <x:c r="O19" s="212"/>
      <x:c r="P19" s="237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 ht="28" customHeight="1">
      <x:c r="A20" s="222"/>
      <x:c r="B20" s="212"/>
      <x:c r="C20" s="212"/>
      <x:c r="D20" s="212"/>
      <x:c r="E20" s="212"/>
      <x:c r="F20" s="212"/>
      <x:c r="G20" s="212"/>
      <x:c r="H20" s="212"/>
      <x:c r="I20" s="212"/>
      <x:c r="J20" s="228" t="str">
        <x:f>IF(C20="","",IFERROR(SUM(E20:H20)/D20,0))</x:f>
      </x:c>
      <x:c r="K20" s="212"/>
      <x:c r="L20" s="212"/>
      <x:c r="M20" s="212"/>
      <x:c r="N20" s="212"/>
      <x:c r="O20" s="212"/>
      <x:c r="P20" s="237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 ht="28" customHeight="1">
      <x:c r="A21" s="222"/>
      <x:c r="B21" s="212"/>
      <x:c r="C21" s="212"/>
      <x:c r="D21" s="212"/>
      <x:c r="E21" s="212"/>
      <x:c r="F21" s="212"/>
      <x:c r="G21" s="212"/>
      <x:c r="H21" s="212"/>
      <x:c r="I21" s="212"/>
      <x:c r="J21" s="228" t="str">
        <x:f>IF(C21="","",IFERROR(SUM(E21:H21)/D21,0))</x:f>
      </x:c>
      <x:c r="K21" s="212"/>
      <x:c r="L21" s="212"/>
      <x:c r="M21" s="212"/>
      <x:c r="N21" s="212"/>
      <x:c r="O21" s="212"/>
      <x:c r="P21" s="237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 ht="28" customHeight="1">
      <x:c r="A22" s="222"/>
      <x:c r="B22" s="212"/>
      <x:c r="C22" s="212"/>
      <x:c r="D22" s="212"/>
      <x:c r="E22" s="212"/>
      <x:c r="F22" s="212"/>
      <x:c r="G22" s="212"/>
      <x:c r="H22" s="212"/>
      <x:c r="I22" s="212"/>
      <x:c r="J22" s="228" t="str">
        <x:f>IF(C22="","",IFERROR(SUM(E22:H22)/D22,0))</x:f>
      </x:c>
      <x:c r="K22" s="212"/>
      <x:c r="L22" s="212"/>
      <x:c r="M22" s="212"/>
      <x:c r="N22" s="212"/>
      <x:c r="O22" s="212"/>
      <x:c r="P22" s="237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 ht="28" customHeight="1">
      <x:c r="A23" s="222"/>
      <x:c r="B23" s="212"/>
      <x:c r="C23" s="212"/>
      <x:c r="D23" s="212"/>
      <x:c r="E23" s="212"/>
      <x:c r="F23" s="212"/>
      <x:c r="G23" s="212"/>
      <x:c r="H23" s="212"/>
      <x:c r="I23" s="212"/>
      <x:c r="J23" s="228" t="str">
        <x:f>IF(C23="","",IFERROR(SUM(E23:H23)/D23,0))</x:f>
      </x:c>
      <x:c r="K23" s="212"/>
      <x:c r="L23" s="212"/>
      <x:c r="M23" s="212"/>
      <x:c r="N23" s="212"/>
      <x:c r="O23" s="212"/>
      <x:c r="P23" s="237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 ht="28" customHeight="1">
      <x:c r="A24" s="222"/>
      <x:c r="B24" s="212"/>
      <x:c r="C24" s="212"/>
      <x:c r="D24" s="212"/>
      <x:c r="E24" s="212"/>
      <x:c r="F24" s="212"/>
      <x:c r="G24" s="212"/>
      <x:c r="H24" s="212"/>
      <x:c r="I24" s="212"/>
      <x:c r="J24" s="228" t="str">
        <x:f>IF(C24="","",IFERROR(SUM(E24:H24)/D24,0))</x:f>
      </x:c>
      <x:c r="K24" s="212"/>
      <x:c r="L24" s="212"/>
      <x:c r="M24" s="212"/>
      <x:c r="N24" s="212"/>
      <x:c r="O24" s="212"/>
      <x:c r="P24" s="237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 ht="28" customHeight="1">
      <x:c r="A25" s="222"/>
      <x:c r="B25" s="212"/>
      <x:c r="C25" s="212"/>
      <x:c r="D25" s="212"/>
      <x:c r="E25" s="212"/>
      <x:c r="F25" s="212"/>
      <x:c r="G25" s="212"/>
      <x:c r="H25" s="212"/>
      <x:c r="I25" s="212"/>
      <x:c r="J25" s="228" t="str">
        <x:f>IF(C25="","",IFERROR(SUM(E25:H25)/D25,0))</x:f>
      </x:c>
      <x:c r="K25" s="212"/>
      <x:c r="L25" s="212"/>
      <x:c r="M25" s="212"/>
      <x:c r="N25" s="212"/>
      <x:c r="O25" s="212"/>
      <x:c r="P25" s="237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 ht="28" customHeight="1">
      <x:c r="A26" s="222"/>
      <x:c r="B26" s="212"/>
      <x:c r="C26" s="212"/>
      <x:c r="D26" s="212"/>
      <x:c r="E26" s="212"/>
      <x:c r="F26" s="212"/>
      <x:c r="G26" s="212"/>
      <x:c r="H26" s="212"/>
      <x:c r="I26" s="212"/>
      <x:c r="J26" s="228" t="str">
        <x:f>IF(C26="","",IFERROR(SUM(E26:H26)/D26,0))</x:f>
      </x:c>
      <x:c r="K26" s="212"/>
      <x:c r="L26" s="212"/>
      <x:c r="M26" s="212"/>
      <x:c r="N26" s="212"/>
      <x:c r="O26" s="212"/>
      <x:c r="P26" s="237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 ht="28" customHeight="1">
      <x:c r="A27" s="222"/>
      <x:c r="B27" s="212"/>
      <x:c r="C27" s="212"/>
      <x:c r="D27" s="212"/>
      <x:c r="E27" s="212"/>
      <x:c r="F27" s="212"/>
      <x:c r="G27" s="212"/>
      <x:c r="H27" s="212"/>
      <x:c r="I27" s="212"/>
      <x:c r="J27" s="228" t="str">
        <x:f>IF(C27="","",IFERROR(SUM(E27:H27)/D27,0))</x:f>
      </x:c>
      <x:c r="K27" s="212"/>
      <x:c r="L27" s="212"/>
      <x:c r="M27" s="212"/>
      <x:c r="N27" s="212"/>
      <x:c r="O27" s="212"/>
      <x:c r="P27" s="237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 ht="28" customHeight="1">
      <x:c r="A28" s="222"/>
      <x:c r="B28" s="212"/>
      <x:c r="C28" s="212"/>
      <x:c r="D28" s="212"/>
      <x:c r="E28" s="212"/>
      <x:c r="F28" s="212"/>
      <x:c r="G28" s="212"/>
      <x:c r="H28" s="212"/>
      <x:c r="I28" s="212"/>
      <x:c r="J28" s="228" t="str">
        <x:f>IF(C28="","",IFERROR(SUM(E28:H28)/D28,0))</x:f>
      </x:c>
      <x:c r="K28" s="212"/>
      <x:c r="L28" s="212"/>
      <x:c r="M28" s="212"/>
      <x:c r="N28" s="212"/>
      <x:c r="O28" s="212"/>
      <x:c r="P28" s="237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 ht="28" customHeight="1">
      <x:c r="A29" s="222"/>
      <x:c r="B29" s="212"/>
      <x:c r="C29" s="212"/>
      <x:c r="D29" s="212"/>
      <x:c r="E29" s="212"/>
      <x:c r="F29" s="212"/>
      <x:c r="G29" s="212"/>
      <x:c r="H29" s="212"/>
      <x:c r="I29" s="212"/>
      <x:c r="J29" s="228" t="str">
        <x:f>IF(C29="","",IFERROR(SUM(E29:H29)/D29,0))</x:f>
      </x:c>
      <x:c r="K29" s="212"/>
      <x:c r="L29" s="212"/>
      <x:c r="M29" s="212"/>
      <x:c r="N29" s="212"/>
      <x:c r="O29" s="212"/>
      <x:c r="P29" s="237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 ht="28" customHeight="1">
      <x:c r="A30" s="222"/>
      <x:c r="B30" s="212"/>
      <x:c r="C30" s="212"/>
      <x:c r="D30" s="212"/>
      <x:c r="E30" s="212"/>
      <x:c r="F30" s="212"/>
      <x:c r="G30" s="212"/>
      <x:c r="H30" s="212"/>
      <x:c r="I30" s="212"/>
      <x:c r="J30" s="228" t="str">
        <x:f>IF(C30="","",IFERROR(SUM(E30:H30)/D30,0))</x:f>
      </x:c>
      <x:c r="K30" s="212"/>
      <x:c r="L30" s="212"/>
      <x:c r="M30" s="212"/>
      <x:c r="N30" s="212"/>
      <x:c r="O30" s="212"/>
      <x:c r="P30" s="237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 ht="28" customHeight="1">
      <x:c r="A31" s="222"/>
      <x:c r="B31" s="212"/>
      <x:c r="C31" s="212"/>
      <x:c r="D31" s="212"/>
      <x:c r="E31" s="212"/>
      <x:c r="F31" s="212"/>
      <x:c r="G31" s="212"/>
      <x:c r="H31" s="212"/>
      <x:c r="I31" s="212"/>
      <x:c r="J31" s="228" t="str">
        <x:f>IF(C31="","",IFERROR(SUM(E31:H31)/D31,0))</x:f>
      </x:c>
      <x:c r="K31" s="212"/>
      <x:c r="L31" s="212"/>
      <x:c r="M31" s="212"/>
      <x:c r="N31" s="212"/>
      <x:c r="O31" s="212"/>
      <x:c r="P31" s="237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 ht="28" customHeight="1">
      <x:c r="A32" s="222"/>
      <x:c r="B32" s="212"/>
      <x:c r="C32" s="212"/>
      <x:c r="D32" s="212"/>
      <x:c r="E32" s="212"/>
      <x:c r="F32" s="212"/>
      <x:c r="G32" s="212"/>
      <x:c r="H32" s="212"/>
      <x:c r="I32" s="212"/>
      <x:c r="J32" s="228" t="str">
        <x:f>IF(C32="","",IFERROR(SUM(E32:H32)/D32,0))</x:f>
      </x:c>
      <x:c r="K32" s="212"/>
      <x:c r="L32" s="212"/>
      <x:c r="M32" s="212"/>
      <x:c r="N32" s="212"/>
      <x:c r="O32" s="212"/>
      <x:c r="P32" s="237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 ht="28" customHeight="1">
      <x:c r="A33" s="222"/>
      <x:c r="B33" s="212"/>
      <x:c r="C33" s="212"/>
      <x:c r="D33" s="212"/>
      <x:c r="E33" s="212"/>
      <x:c r="F33" s="212"/>
      <x:c r="G33" s="212"/>
      <x:c r="H33" s="212"/>
      <x:c r="I33" s="212"/>
      <x:c r="J33" s="228" t="str">
        <x:f>IF(C33="","",IFERROR(SUM(E33:H33)/D33,0))</x:f>
      </x:c>
      <x:c r="K33" s="212"/>
      <x:c r="L33" s="212"/>
      <x:c r="M33" s="212"/>
      <x:c r="N33" s="212"/>
      <x:c r="O33" s="212"/>
      <x:c r="P33" s="237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 ht="28" customHeight="1">
      <x:c r="A34" s="222"/>
      <x:c r="B34" s="212"/>
      <x:c r="C34" s="212"/>
      <x:c r="D34" s="212"/>
      <x:c r="E34" s="212"/>
      <x:c r="F34" s="212"/>
      <x:c r="G34" s="212"/>
      <x:c r="H34" s="212"/>
      <x:c r="I34" s="212"/>
      <x:c r="J34" s="228" t="str">
        <x:f>IF(C34="","",IFERROR(SUM(E34:H34)/D34,0))</x:f>
      </x:c>
      <x:c r="K34" s="212"/>
      <x:c r="L34" s="212"/>
      <x:c r="M34" s="212"/>
      <x:c r="N34" s="212"/>
      <x:c r="O34" s="212"/>
      <x:c r="P34" s="237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 ht="28" customHeight="1">
      <x:c r="A35" s="222"/>
      <x:c r="B35" s="212"/>
      <x:c r="C35" s="212"/>
      <x:c r="D35" s="212"/>
      <x:c r="E35" s="212"/>
      <x:c r="F35" s="212"/>
      <x:c r="G35" s="212"/>
      <x:c r="H35" s="212"/>
      <x:c r="I35" s="212"/>
      <x:c r="J35" s="228" t="str">
        <x:f>IF(C35="","",IFERROR(SUM(E35:H35)/D35,0))</x:f>
      </x:c>
      <x:c r="K35" s="212"/>
      <x:c r="L35" s="212"/>
      <x:c r="M35" s="212"/>
      <x:c r="N35" s="212"/>
      <x:c r="O35" s="212"/>
      <x:c r="P35" s="237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 ht="28" customHeight="1">
      <x:c r="A36" s="222"/>
      <x:c r="B36" s="212"/>
      <x:c r="C36" s="212"/>
      <x:c r="D36" s="212"/>
      <x:c r="E36" s="212"/>
      <x:c r="F36" s="212"/>
      <x:c r="G36" s="212"/>
      <x:c r="H36" s="212"/>
      <x:c r="I36" s="212"/>
      <x:c r="J36" s="228" t="str">
        <x:f>IF(C36="","",IFERROR(SUM(E36:H36)/D36,0))</x:f>
      </x:c>
      <x:c r="K36" s="212"/>
      <x:c r="L36" s="212"/>
      <x:c r="M36" s="212"/>
      <x:c r="N36" s="212"/>
      <x:c r="O36" s="212"/>
      <x:c r="P36" s="237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 ht="28" customHeight="1">
      <x:c r="A37" s="222"/>
      <x:c r="B37" s="212"/>
      <x:c r="C37" s="212"/>
      <x:c r="D37" s="212"/>
      <x:c r="E37" s="212"/>
      <x:c r="F37" s="212"/>
      <x:c r="G37" s="212"/>
      <x:c r="H37" s="212"/>
      <x:c r="I37" s="212"/>
      <x:c r="J37" s="228" t="str">
        <x:f>IF(C37="","",IFERROR(SUM(E37:H37)/D37,0))</x:f>
      </x:c>
      <x:c r="K37" s="212"/>
      <x:c r="L37" s="212"/>
      <x:c r="M37" s="212"/>
      <x:c r="N37" s="212"/>
      <x:c r="O37" s="212"/>
      <x:c r="P37" s="237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 ht="28" customHeight="1">
      <x:c r="A38" s="222"/>
      <x:c r="B38" s="212"/>
      <x:c r="C38" s="212"/>
      <x:c r="D38" s="212"/>
      <x:c r="E38" s="212"/>
      <x:c r="F38" s="212"/>
      <x:c r="G38" s="212"/>
      <x:c r="H38" s="212"/>
      <x:c r="I38" s="212"/>
      <x:c r="J38" s="228" t="str">
        <x:f>IF(C38="","",IFERROR(SUM(E38:H38)/D38,0))</x:f>
      </x:c>
      <x:c r="K38" s="212"/>
      <x:c r="L38" s="212"/>
      <x:c r="M38" s="212"/>
      <x:c r="N38" s="212"/>
      <x:c r="O38" s="212"/>
      <x:c r="P38" s="237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 ht="28" customHeight="1">
      <x:c r="A39" s="222"/>
      <x:c r="B39" s="212"/>
      <x:c r="C39" s="212"/>
      <x:c r="D39" s="212"/>
      <x:c r="E39" s="212"/>
      <x:c r="F39" s="212"/>
      <x:c r="G39" s="212"/>
      <x:c r="H39" s="212"/>
      <x:c r="I39" s="212"/>
      <x:c r="J39" s="228" t="str">
        <x:f>IF(C39="","",IFERROR(SUM(E39:H39)/D39,0))</x:f>
      </x:c>
      <x:c r="K39" s="212"/>
      <x:c r="L39" s="212"/>
      <x:c r="M39" s="212"/>
      <x:c r="N39" s="212"/>
      <x:c r="O39" s="212"/>
      <x:c r="P39" s="237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 ht="28" customHeight="1">
      <x:c r="A40" s="222"/>
      <x:c r="B40" s="212"/>
      <x:c r="C40" s="212"/>
      <x:c r="D40" s="212"/>
      <x:c r="E40" s="212"/>
      <x:c r="F40" s="212"/>
      <x:c r="G40" s="212"/>
      <x:c r="H40" s="212"/>
      <x:c r="I40" s="212"/>
      <x:c r="J40" s="228" t="str">
        <x:f>IF(C40="","",IFERROR(SUM(E40:H40)/D40,0))</x:f>
      </x:c>
      <x:c r="K40" s="212"/>
      <x:c r="L40" s="212"/>
      <x:c r="M40" s="212"/>
      <x:c r="N40" s="212"/>
      <x:c r="O40" s="212"/>
      <x:c r="P40" s="237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 ht="28" customHeight="1">
      <x:c r="A41" s="222"/>
      <x:c r="B41" s="212"/>
      <x:c r="C41" s="212"/>
      <x:c r="D41" s="212"/>
      <x:c r="E41" s="212"/>
      <x:c r="F41" s="212"/>
      <x:c r="G41" s="212"/>
      <x:c r="H41" s="212"/>
      <x:c r="I41" s="212"/>
      <x:c r="J41" s="228" t="str">
        <x:f>IF(C41="","",IFERROR(SUM(E41:H41)/D41,0))</x:f>
      </x:c>
      <x:c r="K41" s="212"/>
      <x:c r="L41" s="212"/>
      <x:c r="M41" s="212"/>
      <x:c r="N41" s="212"/>
      <x:c r="O41" s="212"/>
      <x:c r="P41" s="237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 ht="28" customHeight="1">
      <x:c r="A42" s="222"/>
      <x:c r="B42" s="212"/>
      <x:c r="C42" s="212"/>
      <x:c r="D42" s="212"/>
      <x:c r="E42" s="212"/>
      <x:c r="F42" s="212"/>
      <x:c r="G42" s="212"/>
      <x:c r="H42" s="212"/>
      <x:c r="I42" s="212"/>
      <x:c r="J42" s="228" t="str">
        <x:f>IF(C42="","",IFERROR(SUM(E42:H42)/D42,0))</x:f>
      </x:c>
      <x:c r="K42" s="212"/>
      <x:c r="L42" s="212"/>
      <x:c r="M42" s="212"/>
      <x:c r="N42" s="212"/>
      <x:c r="O42" s="212"/>
      <x:c r="P42" s="237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 ht="28" customHeight="1">
      <x:c r="A43" s="222"/>
      <x:c r="B43" s="212"/>
      <x:c r="C43" s="212"/>
      <x:c r="D43" s="212"/>
      <x:c r="E43" s="212"/>
      <x:c r="F43" s="212"/>
      <x:c r="G43" s="212"/>
      <x:c r="H43" s="212"/>
      <x:c r="I43" s="212"/>
      <x:c r="J43" s="228" t="str">
        <x:f>IF(C43="","",IFERROR(SUM(E43:H43)/D43,0))</x:f>
      </x:c>
      <x:c r="K43" s="212"/>
      <x:c r="L43" s="212"/>
      <x:c r="M43" s="212"/>
      <x:c r="N43" s="212"/>
      <x:c r="O43" s="212"/>
      <x:c r="P43" s="237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 ht="28" customHeight="1">
      <x:c r="A44" s="222"/>
      <x:c r="B44" s="212"/>
      <x:c r="C44" s="212"/>
      <x:c r="D44" s="212"/>
      <x:c r="E44" s="212"/>
      <x:c r="F44" s="212"/>
      <x:c r="G44" s="212"/>
      <x:c r="H44" s="212"/>
      <x:c r="I44" s="212"/>
      <x:c r="J44" s="228" t="str">
        <x:f>IF(C44="","",IFERROR(SUM(E44:H44)/D44,0))</x:f>
      </x:c>
      <x:c r="K44" s="212"/>
      <x:c r="L44" s="212"/>
      <x:c r="M44" s="212"/>
      <x:c r="N44" s="212"/>
      <x:c r="O44" s="212"/>
      <x:c r="P44" s="237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 ht="28" customHeight="1">
      <x:c r="A45" s="222"/>
      <x:c r="B45" s="212"/>
      <x:c r="C45" s="212"/>
      <x:c r="D45" s="212"/>
      <x:c r="E45" s="212"/>
      <x:c r="F45" s="212"/>
      <x:c r="G45" s="212"/>
      <x:c r="H45" s="212"/>
      <x:c r="I45" s="212"/>
      <x:c r="J45" s="228" t="str">
        <x:f>IF(C45="","",IFERROR(SUM(E45:H45)/D45,0))</x:f>
      </x:c>
      <x:c r="K45" s="212"/>
      <x:c r="L45" s="212"/>
      <x:c r="M45" s="212"/>
      <x:c r="N45" s="212"/>
      <x:c r="O45" s="212"/>
      <x:c r="P45" s="237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 ht="28" customHeight="1">
      <x:c r="A46" s="222"/>
      <x:c r="B46" s="212"/>
      <x:c r="C46" s="212"/>
      <x:c r="D46" s="212"/>
      <x:c r="E46" s="212"/>
      <x:c r="F46" s="212"/>
      <x:c r="G46" s="212"/>
      <x:c r="H46" s="212"/>
      <x:c r="I46" s="212"/>
      <x:c r="J46" s="228" t="str">
        <x:f>IF(C46="","",IFERROR(SUM(E46:H46)/D46,0))</x:f>
      </x:c>
      <x:c r="K46" s="212"/>
      <x:c r="L46" s="212"/>
      <x:c r="M46" s="212"/>
      <x:c r="N46" s="212"/>
      <x:c r="O46" s="212"/>
      <x:c r="P46" s="237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 ht="28" customHeight="1">
      <x:c r="A47" s="222"/>
      <x:c r="B47" s="212"/>
      <x:c r="C47" s="212"/>
      <x:c r="D47" s="212"/>
      <x:c r="E47" s="212"/>
      <x:c r="F47" s="212"/>
      <x:c r="G47" s="212"/>
      <x:c r="H47" s="212"/>
      <x:c r="I47" s="212"/>
      <x:c r="J47" s="228" t="str">
        <x:f>IF(C47="","",IFERROR(SUM(E47:H47)/D47,0))</x:f>
      </x:c>
      <x:c r="K47" s="212"/>
      <x:c r="L47" s="212"/>
      <x:c r="M47" s="212"/>
      <x:c r="N47" s="212"/>
      <x:c r="O47" s="212"/>
      <x:c r="P47" s="237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 ht="28" customHeight="1">
      <x:c r="A48" s="222"/>
      <x:c r="B48" s="212"/>
      <x:c r="C48" s="212"/>
      <x:c r="D48" s="212"/>
      <x:c r="E48" s="212"/>
      <x:c r="F48" s="212"/>
      <x:c r="G48" s="212"/>
      <x:c r="H48" s="212"/>
      <x:c r="I48" s="212"/>
      <x:c r="J48" s="228" t="str">
        <x:f>IF(C48="","",IFERROR(SUM(E48:H48)/D48,0))</x:f>
      </x:c>
      <x:c r="K48" s="212"/>
      <x:c r="L48" s="212"/>
      <x:c r="M48" s="212"/>
      <x:c r="N48" s="212"/>
      <x:c r="O48" s="212"/>
      <x:c r="P48" s="237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 ht="28" customHeight="1">
      <x:c r="A49" s="222"/>
      <x:c r="B49" s="212"/>
      <x:c r="C49" s="212"/>
      <x:c r="D49" s="212"/>
      <x:c r="E49" s="212"/>
      <x:c r="F49" s="212"/>
      <x:c r="G49" s="212"/>
      <x:c r="H49" s="212"/>
      <x:c r="I49" s="212"/>
      <x:c r="J49" s="228" t="str">
        <x:f>IF(C49="","",IFERROR(SUM(E49:H49)/D49,0))</x:f>
      </x:c>
      <x:c r="K49" s="212"/>
      <x:c r="L49" s="212"/>
      <x:c r="M49" s="212"/>
      <x:c r="N49" s="212"/>
      <x:c r="O49" s="212"/>
      <x:c r="P49" s="237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 ht="28" customHeight="1">
      <x:c r="A50" s="222"/>
      <x:c r="B50" s="212"/>
      <x:c r="C50" s="212"/>
      <x:c r="D50" s="212"/>
      <x:c r="E50" s="212"/>
      <x:c r="F50" s="212"/>
      <x:c r="G50" s="212"/>
      <x:c r="H50" s="212"/>
      <x:c r="I50" s="212"/>
      <x:c r="J50" s="228" t="str">
        <x:f>IF(C50="","",IFERROR(SUM(E50:H50)/D50,0))</x:f>
      </x:c>
      <x:c r="K50" s="212"/>
      <x:c r="L50" s="212"/>
      <x:c r="M50" s="212"/>
      <x:c r="N50" s="212"/>
      <x:c r="O50" s="212"/>
      <x:c r="P50" s="237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 ht="28" customHeight="1">
      <x:c r="A51" s="222"/>
      <x:c r="B51" s="212"/>
      <x:c r="C51" s="212"/>
      <x:c r="D51" s="212"/>
      <x:c r="E51" s="212"/>
      <x:c r="F51" s="212"/>
      <x:c r="G51" s="212"/>
      <x:c r="H51" s="212"/>
      <x:c r="I51" s="212"/>
      <x:c r="J51" s="228" t="str">
        <x:f>IF(C51="","",IFERROR(SUM(E51:H51)/D51,0))</x:f>
      </x:c>
      <x:c r="K51" s="212"/>
      <x:c r="L51" s="212"/>
      <x:c r="M51" s="212"/>
      <x:c r="N51" s="212"/>
      <x:c r="O51" s="212"/>
      <x:c r="P51" s="237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 ht="28" customHeight="1">
      <x:c r="A52" s="222"/>
      <x:c r="B52" s="212"/>
      <x:c r="C52" s="212"/>
      <x:c r="D52" s="212"/>
      <x:c r="E52" s="212"/>
      <x:c r="F52" s="212"/>
      <x:c r="G52" s="212"/>
      <x:c r="H52" s="212"/>
      <x:c r="I52" s="212"/>
      <x:c r="J52" s="228" t="str">
        <x:f>IF(C52="","",IFERROR(SUM(E52:H52)/D52,0))</x:f>
      </x:c>
      <x:c r="K52" s="212"/>
      <x:c r="L52" s="212"/>
      <x:c r="M52" s="212"/>
      <x:c r="N52" s="212"/>
      <x:c r="O52" s="212"/>
      <x:c r="P52" s="237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 ht="28" customHeight="1">
      <x:c r="A53" s="222"/>
      <x:c r="B53" s="212"/>
      <x:c r="C53" s="212"/>
      <x:c r="D53" s="212"/>
      <x:c r="E53" s="212"/>
      <x:c r="F53" s="212"/>
      <x:c r="G53" s="212"/>
      <x:c r="H53" s="212"/>
      <x:c r="I53" s="212"/>
      <x:c r="J53" s="228" t="str">
        <x:f>IF(C53="","",IFERROR(SUM(E53:H53)/D53,0))</x:f>
      </x:c>
      <x:c r="K53" s="212"/>
      <x:c r="L53" s="212"/>
      <x:c r="M53" s="212"/>
      <x:c r="N53" s="212"/>
      <x:c r="O53" s="212"/>
      <x:c r="P53" s="237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 ht="28" customHeight="1">
      <x:c r="A54" s="222"/>
      <x:c r="B54" s="212"/>
      <x:c r="C54" s="212"/>
      <x:c r="D54" s="212"/>
      <x:c r="E54" s="212"/>
      <x:c r="F54" s="212"/>
      <x:c r="G54" s="212"/>
      <x:c r="H54" s="212"/>
      <x:c r="I54" s="212"/>
      <x:c r="J54" s="228" t="str">
        <x:f>IF(C54="","",IFERROR(SUM(E54:H54)/D54,0))</x:f>
      </x:c>
      <x:c r="K54" s="212"/>
      <x:c r="L54" s="212"/>
      <x:c r="M54" s="212"/>
      <x:c r="N54" s="212"/>
      <x:c r="O54" s="212"/>
      <x:c r="P54" s="237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 ht="28" customHeight="1">
      <x:c r="A55" s="223"/>
      <x:c r="B55" s="214"/>
      <x:c r="C55" s="214"/>
      <x:c r="D55" s="214"/>
      <x:c r="E55" s="214"/>
      <x:c r="F55" s="214"/>
      <x:c r="G55" s="214"/>
      <x:c r="H55" s="214"/>
      <x:c r="I55" s="214"/>
      <x:c r="J55" s="229" t="str">
        <x:f>IF(C55="","",IFERROR(SUM(E55:H55)/D55,0))</x:f>
      </x:c>
      <x:c r="K55" s="214"/>
      <x:c r="L55" s="214"/>
      <x:c r="M55" s="214"/>
      <x:c r="N55" s="214"/>
      <x:c r="O55" s="214"/>
      <x:c r="P55" s="238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P2"/>
    <x:mergeCell ref="A3:P3"/>
  </x:mergeCells>
  <x:conditionalFormatting sqref="N6:N55">
    <x:cfRule type="containsText" dxfId="23" priority="1" operator="containsText" text="正常"/>
    <x:cfRule type="containsText" dxfId="24" priority="2" operator="containsText" text="已完成"/>
    <x:cfRule type="containsText" dxfId="25" priority="3" operator="containsText" text="关注"/>
    <x:cfRule type="containsText" dxfId="26" priority="4" operator="containsText" text="预警"/>
    <x:cfRule type="containsText" dxfId="27" priority="5" operator="containsText" text="逾期"/>
  </x:conditionalFormatting>
  <x:dataValidations count="2">
    <x:dataValidation type="list" sqref="B6:B55">
      <x:formula1>"小红书,抖音,视频号,其他"</x:formula1>
    </x:dataValidation>
    <x:dataValidation type="list" sqref="N6:N55">
      <x:formula1>"正常,关注,预警"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6" hidden="0" customWidth="1"/>
    <x:col min="5" max="5" width="42" hidden="0" customWidth="1"/>
    <x:col min="6" max="6" width="28" hidden="0" customWidth="1"/>
    <x:col min="7" max="7" width="24" hidden="0" customWidth="1"/>
    <x:col min="8" max="8" width="18" hidden="0" customWidth="1"/>
    <x:col min="9" max="9" width="14" hidden="0" customWidth="1"/>
    <x:col min="10" max="10" width="24" hidden="0" customWidth="1"/>
  </x:cols>
  <x:sheetData>
    <x:row r="1" ht="34" customHeight="1">
      <x:c r="A1" s="16" t="str">
        <x:v>字段字典与填报口径
业务定义、填写格式、来源、频率和老板端用途</x:v>
      </x:c>
      <x:c r="B1" s="17" t="str">
        <x:v>字段字典与填报口径
业务定义、填写格式、来源、频率和老板端用途</x:v>
      </x:c>
      <x:c r="C1" s="17" t="str">
        <x:v>字段字典与填报口径
业务定义、填写格式、来源、频率和老板端用途</x:v>
      </x:c>
      <x:c r="D1" s="17" t="str">
        <x:v>字段字典与填报口径
业务定义、填写格式、来源、频率和老板端用途</x:v>
      </x:c>
      <x:c r="E1" s="17" t="str">
        <x:v>字段字典与填报口径
业务定义、填写格式、来源、频率和老板端用途</x:v>
      </x:c>
      <x:c r="F1" s="17" t="str">
        <x:v>字段字典与填报口径
业务定义、填写格式、来源、频率和老板端用途</x:v>
      </x:c>
      <x:c r="G1" s="17" t="str">
        <x:v>字段字典与填报口径
业务定义、填写格式、来源、频率和老板端用途</x:v>
      </x:c>
      <x:c r="H1" s="17" t="str">
        <x:v>字段字典与填报口径
业务定义、填写格式、来源、频率和老板端用途</x:v>
      </x:c>
      <x:c r="I1" s="17" t="str">
        <x:v>字段字典与填报口径
业务定义、填写格式、来源、频率和老板端用途</x:v>
      </x:c>
      <x:c r="J1" s="18" t="str">
        <x:v>字段字典与填报口径
业务定义、填写格式、来源、频率和老板端用途</x:v>
      </x:c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字段字典与填报口径
业务定义、填写格式、来源、频率和老板端用途</x:v>
      </x:c>
      <x:c r="B2" s="20" t="str">
        <x:v>字段字典与填报口径
业务定义、填写格式、来源、频率和老板端用途</x:v>
      </x:c>
      <x:c r="C2" s="20" t="str">
        <x:v>字段字典与填报口径
业务定义、填写格式、来源、频率和老板端用途</x:v>
      </x:c>
      <x:c r="D2" s="20" t="str">
        <x:v>字段字典与填报口径
业务定义、填写格式、来源、频率和老板端用途</x:v>
      </x:c>
      <x:c r="E2" s="20" t="str">
        <x:v>字段字典与填报口径
业务定义、填写格式、来源、频率和老板端用途</x:v>
      </x:c>
      <x:c r="F2" s="20" t="str">
        <x:v>字段字典与填报口径
业务定义、填写格式、来源、频率和老板端用途</x:v>
      </x:c>
      <x:c r="G2" s="20" t="str">
        <x:v>字段字典与填报口径
业务定义、填写格式、来源、频率和老板端用途</x:v>
      </x:c>
      <x:c r="H2" s="20" t="str">
        <x:v>字段字典与填报口径
业务定义、填写格式、来源、频率和老板端用途</x:v>
      </x:c>
      <x:c r="I2" s="20" t="str">
        <x:v>字段字典与填报口径
业务定义、填写格式、来源、频率和老板端用途</x:v>
      </x:c>
      <x:c r="J2" s="21" t="str">
        <x:v>字段字典与填报口径
业务定义、填写格式、来源、频率和老板端用途</x:v>
      </x:c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字段名称必须与采集页保持一致。新增指标前先确认业务定义、单位和是否进入老板端，避免同名不同口径。</x:v>
      </x:c>
      <x:c r="B3" s="31" t="str">
        <x:v>字段名称必须与采集页保持一致。新增指标前先确认业务定义、单位和是否进入老板端，避免同名不同口径。</x:v>
      </x:c>
      <x:c r="C3" s="31" t="str">
        <x:v>字段名称必须与采集页保持一致。新增指标前先确认业务定义、单位和是否进入老板端，避免同名不同口径。</x:v>
      </x:c>
      <x:c r="D3" s="31" t="str">
        <x:v>字段名称必须与采集页保持一致。新增指标前先确认业务定义、单位和是否进入老板端，避免同名不同口径。</x:v>
      </x:c>
      <x:c r="E3" s="31" t="str">
        <x:v>字段名称必须与采集页保持一致。新增指标前先确认业务定义、单位和是否进入老板端，避免同名不同口径。</x:v>
      </x:c>
      <x:c r="F3" s="31" t="str">
        <x:v>字段名称必须与采集页保持一致。新增指标前先确认业务定义、单位和是否进入老板端，避免同名不同口径。</x:v>
      </x:c>
      <x:c r="G3" s="31" t="str">
        <x:v>字段名称必须与采集页保持一致。新增指标前先确认业务定义、单位和是否进入老板端，避免同名不同口径。</x:v>
      </x:c>
      <x:c r="H3" s="31" t="str">
        <x:v>字段名称必须与采集页保持一致。新增指标前先确认业务定义、单位和是否进入老板端，避免同名不同口径。</x:v>
      </x:c>
      <x:c r="I3" s="31" t="str">
        <x:v>字段名称必须与采集页保持一致。新增指标前先确认业务定义、单位和是否进入老板端，避免同名不同口径。</x:v>
      </x:c>
      <x:c r="J3" s="32" t="str">
        <x:v>字段名称必须与采集页保持一致。新增指标前先确认业务定义、单位和是否进入老板端，避免同名不同口径。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34" customHeight="1">
      <x:c r="A5" s="129" t="str">
        <x:v>工作表</x:v>
      </x:c>
      <x:c r="B5" s="130" t="str">
        <x:v>字段</x:v>
      </x:c>
      <x:c r="C5" s="130" t="str">
        <x:v>必填</x:v>
      </x:c>
      <x:c r="D5" s="130" t="str">
        <x:v>格式/单位</x:v>
      </x:c>
      <x:c r="E5" s="130" t="str">
        <x:v>填写说明</x:v>
      </x:c>
      <x:c r="F5" s="130" t="str">
        <x:v>示例</x:v>
      </x:c>
      <x:c r="G5" s="130" t="str">
        <x:v>推荐来源</x:v>
      </x:c>
      <x:c r="H5" s="130" t="str">
        <x:v>责任角色</x:v>
      </x:c>
      <x:c r="I5" s="130" t="str">
        <x:v>频率</x:v>
      </x:c>
      <x:c r="J5" s="131" t="str">
        <x:v>老板端用途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 ht="28" customHeight="1">
      <x:c r="A6" s="204" t="str">
        <x:v>简报摘要</x:v>
      </x:c>
      <x:c r="B6" s="205" t="str">
        <x:v>经营结论</x:v>
      </x:c>
      <x:c r="C6" s="205" t="str">
        <x:v>是</x:v>
      </x:c>
      <x:c r="D6" s="205" t="str">
        <x:v>文本</x:v>
      </x:c>
      <x:c r="E6" s="205" t="str">
        <x:v>只写结果、主要原因和判断，不堆砌明细</x:v>
      </x:c>
      <x:c r="F6" s="205" t="str">
        <x:v>销售达成正常，Apple电商受库存影响</x:v>
      </x:c>
      <x:c r="G6" s="205" t="str">
        <x:v>AI/人工汇总</x:v>
      </x:c>
      <x:c r="H6" s="205" t="str">
        <x:v>总经办</x:v>
      </x:c>
      <x:c r="I6" s="205" t="str">
        <x:v>日/周/月</x:v>
      </x:c>
      <x:c r="J6" s="206" t="str">
        <x:v>第一屏摘要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28" customHeight="1">
      <x:c r="A7" s="154" t="str">
        <x:v>简报摘要</x:v>
      </x:c>
      <x:c r="B7" s="155" t="str">
        <x:v>老板决策</x:v>
      </x:c>
      <x:c r="C7" s="155" t="str">
        <x:v>异常必填</x:v>
      </x:c>
      <x:c r="D7" s="155" t="str">
        <x:v>文本</x:v>
      </x:c>
      <x:c r="E7" s="155" t="str">
        <x:v>明确需要老板选择、批准或协调的事项</x:v>
      </x:c>
      <x:c r="F7" s="155" t="str">
        <x:v>是否批准专项价格清理</x:v>
      </x:c>
      <x:c r="G7" s="155" t="str">
        <x:v>事项风控</x:v>
      </x:c>
      <x:c r="H7" s="155" t="str">
        <x:v>总经办</x:v>
      </x:c>
      <x:c r="I7" s="155" t="str">
        <x:v>按需</x:v>
      </x:c>
      <x:c r="J7" s="207" t="str">
        <x:v>决策区</x:v>
      </x:c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28" customHeight="1">
      <x:c r="A8" s="154" t="str">
        <x:v>经营采集</x:v>
      </x:c>
      <x:c r="B8" s="155" t="str">
        <x:v>本期销售额（元）</x:v>
      </x:c>
      <x:c r="C8" s="155" t="str">
        <x:v>是</x:v>
      </x:c>
      <x:c r="D8" s="155" t="str">
        <x:v>元</x:v>
      </x:c>
      <x:c r="E8" s="155" t="str">
        <x:v>日报填当日实销，周/月报填对应周期实销；退货按公司口径冲减</x:v>
      </x:c>
      <x:c r="F8" s="155" t="str">
        <x:v>924000</x:v>
      </x:c>
      <x:c r="G8" s="155" t="str">
        <x:v>ERP/平台后台</x:v>
      </x:c>
      <x:c r="H8" s="155" t="str">
        <x:v>经营负责人</x:v>
      </x:c>
      <x:c r="I8" s="155" t="str">
        <x:v>每日</x:v>
      </x:c>
      <x:c r="J8" s="207" t="str">
        <x:v>销售总额和渠道贡献</x:v>
      </x:c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28" customHeight="1">
      <x:c r="A9" s="154" t="str">
        <x:v>经营采集</x:v>
      </x:c>
      <x:c r="B9" s="155" t="str">
        <x:v>上一周期销售额（元）</x:v>
      </x:c>
      <x:c r="C9" s="155" t="str">
        <x:v>是</x:v>
      </x:c>
      <x:c r="D9" s="155" t="str">
        <x:v>元</x:v>
      </x:c>
      <x:c r="E9" s="155" t="str">
        <x:v>日报为上一自然日，周报为上周，月报为上月同口径</x:v>
      </x:c>
      <x:c r="F9" s="155" t="str">
        <x:v>895000</x:v>
      </x:c>
      <x:c r="G9" s="155" t="str">
        <x:v>历史日报</x:v>
      </x:c>
      <x:c r="H9" s="155" t="str">
        <x:v>经营负责人</x:v>
      </x:c>
      <x:c r="I9" s="155" t="str">
        <x:v>每日</x:v>
      </x:c>
      <x:c r="J9" s="207" t="str">
        <x:v>环比</x:v>
      </x:c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28" customHeight="1">
      <x:c r="A10" s="154" t="str">
        <x:v>经营采集</x:v>
      </x:c>
      <x:c r="B10" s="155" t="str">
        <x:v>月累计（元）</x:v>
      </x:c>
      <x:c r="C10" s="155" t="str">
        <x:v>是</x:v>
      </x:c>
      <x:c r="D10" s="155" t="str">
        <x:v>元</x:v>
      </x:c>
      <x:c r="E10" s="155" t="str">
        <x:v>当月1日至报告日期累计实销</x:v>
      </x:c>
      <x:c r="F10" s="155" t="str">
        <x:v>7210000</x:v>
      </x:c>
      <x:c r="G10" s="155" t="str">
        <x:v>ERP/平台后台</x:v>
      </x:c>
      <x:c r="H10" s="155" t="str">
        <x:v>经营负责人</x:v>
      </x:c>
      <x:c r="I10" s="155" t="str">
        <x:v>每日</x:v>
      </x:c>
      <x:c r="J10" s="207" t="str">
        <x:v>月进度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 ht="28" customHeight="1">
      <x:c r="A11" s="154" t="str">
        <x:v>经营采集</x:v>
      </x:c>
      <x:c r="B11" s="155" t="str">
        <x:v>月目标（元）</x:v>
      </x:c>
      <x:c r="C11" s="155" t="str">
        <x:v>是</x:v>
      </x:c>
      <x:c r="D11" s="155" t="str">
        <x:v>元</x:v>
      </x:c>
      <x:c r="E11" s="155" t="str">
        <x:v>经确认的月度经营目标，中途调整需备注</x:v>
      </x:c>
      <x:c r="F11" s="155" t="str">
        <x:v>31000000</x:v>
      </x:c>
      <x:c r="G11" s="155" t="str">
        <x:v>目标分解表</x:v>
      </x:c>
      <x:c r="H11" s="155" t="str">
        <x:v>业务负责人</x:v>
      </x:c>
      <x:c r="I11" s="155" t="str">
        <x:v>月初/调整</x:v>
      </x:c>
      <x:c r="J11" s="207" t="str">
        <x:v>目标达成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28" customHeight="1">
      <x:c r="A12" s="154" t="str">
        <x:v>经营采集</x:v>
      </x:c>
      <x:c r="B12" s="155" t="str">
        <x:v>毛利额（元）</x:v>
      </x:c>
      <x:c r="C12" s="155" t="str">
        <x:v>建议</x:v>
      </x:c>
      <x:c r="D12" s="155" t="str">
        <x:v>元</x:v>
      </x:c>
      <x:c r="E12" s="155" t="str">
        <x:v>按财务确认口径填写，未取得时留空并说明</x:v>
      </x:c>
      <x:c r="F12" s="155" t="str">
        <x:v>99792</x:v>
      </x:c>
      <x:c r="G12" s="155" t="str">
        <x:v>财务/ERP</x:v>
      </x:c>
      <x:c r="H12" s="155" t="str">
        <x:v>经营负责人</x:v>
      </x:c>
      <x:c r="I12" s="155" t="str">
        <x:v>每日/周</x:v>
      </x:c>
      <x:c r="J12" s="207" t="str">
        <x:v>经营质量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 ht="28" customHeight="1">
      <x:c r="A13" s="154" t="str">
        <x:v>经营采集</x:v>
      </x:c>
      <x:c r="B13" s="155" t="str">
        <x:v>访客/客流</x:v>
      </x:c>
      <x:c r="C13" s="155" t="str">
        <x:v>按业务</x:v>
      </x:c>
      <x:c r="D13" s="155" t="str">
        <x:v>人次</x:v>
      </x:c>
      <x:c r="E13" s="155" t="str">
        <x:v>电商填访客，门店填客流；3PP无此口径可留空</x:v>
      </x:c>
      <x:c r="F13" s="155" t="str">
        <x:v>10901</x:v>
      </x:c>
      <x:c r="G13" s="155" t="str">
        <x:v>商智/门店日报</x:v>
      </x:c>
      <x:c r="H13" s="155" t="str">
        <x:v>运营负责人</x:v>
      </x:c>
      <x:c r="I13" s="155" t="str">
        <x:v>每日</x:v>
      </x:c>
      <x:c r="J13" s="207" t="str">
        <x:v>转化分析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 ht="28" customHeight="1">
      <x:c r="A14" s="154" t="str">
        <x:v>经营采集</x:v>
      </x:c>
      <x:c r="B14" s="155" t="str">
        <x:v>转化率</x:v>
      </x:c>
      <x:c r="C14" s="155" t="str">
        <x:v>按业务</x:v>
      </x:c>
      <x:c r="D14" s="155" t="str">
        <x:v>%</x:v>
      </x:c>
      <x:c r="E14" s="155" t="str">
        <x:v>按平台或门店统一口径填；不要混用成交人数与订单数</x:v>
      </x:c>
      <x:c r="F14" s="155" t="str">
        <x:v>10.0%</x:v>
      </x:c>
      <x:c r="G14" s="155" t="str">
        <x:v>平台/门店日报</x:v>
      </x:c>
      <x:c r="H14" s="155" t="str">
        <x:v>运营负责人</x:v>
      </x:c>
      <x:c r="I14" s="155" t="str">
        <x:v>每日</x:v>
      </x:c>
      <x:c r="J14" s="207" t="str">
        <x:v>效率诊断</x:v>
      </x:c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 ht="28" customHeight="1">
      <x:c r="A15" s="154" t="str">
        <x:v>经营采集</x:v>
      </x:c>
      <x:c r="B15" s="155" t="str">
        <x:v>库存金额（元）</x:v>
      </x:c>
      <x:c r="C15" s="155" t="str">
        <x:v>是</x:v>
      </x:c>
      <x:c r="D15" s="155" t="str">
        <x:v>元</x:v>
      </x:c>
      <x:c r="E15" s="155" t="str">
        <x:v>报告日账面库存金额；四板块不得重复统计同一库存</x:v>
      </x:c>
      <x:c r="F15" s="155" t="str">
        <x:v>12800000</x:v>
      </x:c>
      <x:c r="G15" s="155" t="str">
        <x:v>库存表/吉客云</x:v>
      </x:c>
      <x:c r="H15" s="155" t="str">
        <x:v>采销/商务</x:v>
      </x:c>
      <x:c r="I15" s="155" t="str">
        <x:v>每日/周</x:v>
      </x:c>
      <x:c r="J15" s="207" t="str">
        <x:v>库存健康</x:v>
      </x:c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 ht="28" customHeight="1">
      <x:c r="A16" s="154" t="str">
        <x:v>经营采集</x:v>
      </x:c>
      <x:c r="B16" s="155" t="str">
        <x:v>90天+库存（元）</x:v>
      </x:c>
      <x:c r="C16" s="155" t="str">
        <x:v>是</x:v>
      </x:c>
      <x:c r="D16" s="155" t="str">
        <x:v>元</x:v>
      </x:c>
      <x:c r="E16" s="155" t="str">
        <x:v>按公司确认的库龄口径统计90天以上库存</x:v>
      </x:c>
      <x:c r="F16" s="155" t="str">
        <x:v>460000</x:v>
      </x:c>
      <x:c r="G16" s="155" t="str">
        <x:v>库存分析表</x:v>
      </x:c>
      <x:c r="H16" s="155" t="str">
        <x:v>采销/商务</x:v>
      </x:c>
      <x:c r="I16" s="155" t="str">
        <x:v>周/日异常</x:v>
      </x:c>
      <x:c r="J16" s="207" t="str">
        <x:v>风险预警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 ht="28" customHeight="1">
      <x:c r="A17" s="154" t="str">
        <x:v>经营采集</x:v>
      </x:c>
      <x:c r="B17" s="155" t="str">
        <x:v>状态</x:v>
      </x:c>
      <x:c r="C17" s="155" t="str">
        <x:v>是</x:v>
      </x:c>
      <x:c r="D17" s="155" t="str">
        <x:v>枚举</x:v>
      </x:c>
      <x:c r="E17" s="155" t="str">
        <x:v>正常：无明显偏差；关注：需管理动作；预警：影响目标或现金流</x:v>
      </x:c>
      <x:c r="F17" s="155" t="str">
        <x:v>关注</x:v>
      </x:c>
      <x:c r="G17" s="155" t="str">
        <x:v>人工判断</x:v>
      </x:c>
      <x:c r="H17" s="155" t="str">
        <x:v>业务负责人</x:v>
      </x:c>
      <x:c r="I17" s="155" t="str">
        <x:v>每日</x:v>
      </x:c>
      <x:c r="J17" s="207" t="str">
        <x:v>状态标识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 ht="28" customHeight="1">
      <x:c r="A18" s="154" t="str">
        <x:v>经营采集</x:v>
      </x:c>
      <x:c r="B18" s="155" t="str">
        <x:v>数据来源</x:v>
      </x:c>
      <x:c r="C18" s="155" t="str">
        <x:v>是</x:v>
      </x:c>
      <x:c r="D18" s="155" t="str">
        <x:v>文本</x:v>
      </x:c>
      <x:c r="E18" s="155" t="str">
        <x:v>写明系统、报表或台账名称，便于追溯</x:v>
      </x:c>
      <x:c r="F18" s="155" t="str">
        <x:v>京麦/苏宁后台</x:v>
      </x:c>
      <x:c r="G18" s="155" t="str">
        <x:v>原始系统</x:v>
      </x:c>
      <x:c r="H18" s="155" t="str">
        <x:v>数据提供人</x:v>
      </x:c>
      <x:c r="I18" s="155" t="str">
        <x:v>每日</x:v>
      </x:c>
      <x:c r="J18" s="207" t="str">
        <x:v>数据可信度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 ht="28" customHeight="1">
      <x:c r="A19" s="154" t="str">
        <x:v>门店明细</x:v>
      </x:c>
      <x:c r="B19" s="155" t="str">
        <x:v>当日销售（元）</x:v>
      </x:c>
      <x:c r="C19" s="155" t="str">
        <x:v>是</x:v>
      </x:c>
      <x:c r="D19" s="155" t="str">
        <x:v>元</x:v>
      </x:c>
      <x:c r="E19" s="155" t="str">
        <x:v>门店当日实销，口径与APR板块合计一致</x:v>
      </x:c>
      <x:c r="F19" s="155" t="str">
        <x:v>508000</x:v>
      </x:c>
      <x:c r="G19" s="155" t="str">
        <x:v>门店ERP</x:v>
      </x:c>
      <x:c r="H19" s="155" t="str">
        <x:v>门店店长</x:v>
      </x:c>
      <x:c r="I19" s="155" t="str">
        <x:v>每日</x:v>
      </x:c>
      <x:c r="J19" s="207" t="str">
        <x:v>门店排名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 ht="28" customHeight="1">
      <x:c r="A20" s="154" t="str">
        <x:v>门店明细</x:v>
      </x:c>
      <x:c r="B20" s="155" t="str">
        <x:v>配件占比</x:v>
      </x:c>
      <x:c r="C20" s="155" t="str">
        <x:v>建议</x:v>
      </x:c>
      <x:c r="D20" s="155" t="str">
        <x:v>%</x:v>
      </x:c>
      <x:c r="E20" s="155" t="str">
        <x:v>配件销售额/门店销售额，由公式计算</x:v>
      </x:c>
      <x:c r="F20" s="155" t="str">
        <x:v>16.8%</x:v>
      </x:c>
      <x:c r="G20" s="155" t="str">
        <x:v>门店日报</x:v>
      </x:c>
      <x:c r="H20" s="155" t="str">
        <x:v>门店店长</x:v>
      </x:c>
      <x:c r="I20" s="155" t="str">
        <x:v>每日</x:v>
      </x:c>
      <x:c r="J20" s="207" t="str">
        <x:v>结构质量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 ht="28" customHeight="1">
      <x:c r="A21" s="154" t="str">
        <x:v>门店明细</x:v>
      </x:c>
      <x:c r="B21" s="155" t="str">
        <x:v>异常说明</x:v>
      </x:c>
      <x:c r="C21" s="155" t="str">
        <x:v>异常必填</x:v>
      </x:c>
      <x:c r="D21" s="155" t="str">
        <x:v>文本</x:v>
      </x:c>
      <x:c r="E21" s="155" t="str">
        <x:v>状态为关注或预警时，写原因和经营影响</x:v>
      </x:c>
      <x:c r="F21" s="155" t="str">
        <x:v>重点SKU覆盖不足</x:v>
      </x:c>
      <x:c r="G21" s="155" t="str">
        <x:v>门店反馈</x:v>
      </x:c>
      <x:c r="H21" s="155" t="str">
        <x:v>门店店长</x:v>
      </x:c>
      <x:c r="I21" s="155" t="str">
        <x:v>每日</x:v>
      </x:c>
      <x:c r="J21" s="207" t="str">
        <x:v>异常门店下钻</x:v>
      </x:c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 ht="28" customHeight="1">
      <x:c r="A22" s="154" t="str">
        <x:v>管理采集</x:v>
      </x:c>
      <x:c r="B22" s="155" t="str">
        <x:v>当前值</x:v>
      </x:c>
      <x:c r="C22" s="155" t="str">
        <x:v>是</x:v>
      </x:c>
      <x:c r="D22" s="155" t="str">
        <x:v>数字</x:v>
      </x:c>
      <x:c r="E22" s="155" t="str">
        <x:v>只填数字，单位在下一列选择；百分比用0.875表示87.5%</x:v>
      </x:c>
      <x:c r="F22" s="155" t="str">
        <x:v>0.875</x:v>
      </x:c>
      <x:c r="G22" s="155" t="str">
        <x:v>管理台账</x:v>
      </x:c>
      <x:c r="H22" s="155" t="str">
        <x:v>职能负责人</x:v>
      </x:c>
      <x:c r="I22" s="155" t="str">
        <x:v>日/周</x:v>
      </x:c>
      <x:c r="J22" s="207" t="str">
        <x:v>管理保障KPI</x:v>
      </x:c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 ht="28" customHeight="1">
      <x:c r="A23" s="154" t="str">
        <x:v>管理采集</x:v>
      </x:c>
      <x:c r="B23" s="155" t="str">
        <x:v>控制方向</x:v>
      </x:c>
      <x:c r="C23" s="155" t="str">
        <x:v>是</x:v>
      </x:c>
      <x:c r="D23" s="155" t="str">
        <x:v>&gt;=或&lt;=</x:v>
      </x:c>
      <x:c r="E23" s="155" t="str">
        <x:v>指标越高越好选&gt;=；越低越好选&lt;=</x:v>
      </x:c>
      <x:c r="F23" s="155" t="str">
        <x:v>&lt;=</x:v>
      </x:c>
      <x:c r="G23" s="155" t="str">
        <x:v>指标规则</x:v>
      </x:c>
      <x:c r="H23" s="155" t="str">
        <x:v>总经办</x:v>
      </x:c>
      <x:c r="I23" s="155" t="str">
        <x:v>设定时</x:v>
      </x:c>
      <x:c r="J23" s="207" t="str">
        <x:v>自动状态</x:v>
      </x:c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 ht="28" customHeight="1">
      <x:c r="A24" s="154" t="str">
        <x:v>管理采集</x:v>
      </x:c>
      <x:c r="B24" s="155" t="str">
        <x:v>差异/原因</x:v>
      </x:c>
      <x:c r="C24" s="155" t="str">
        <x:v>异常必填</x:v>
      </x:c>
      <x:c r="D24" s="155" t="str">
        <x:v>文本</x:v>
      </x:c>
      <x:c r="E24" s="155" t="str">
        <x:v>说明当前值为何偏离控制线及影响</x:v>
      </x:c>
      <x:c r="F24" s="155" t="str">
        <x:v>渠道回款日期待明确</x:v>
      </x:c>
      <x:c r="G24" s="155" t="str">
        <x:v>责任部门</x:v>
      </x:c>
      <x:c r="H24" s="155" t="str">
        <x:v>指标负责人</x:v>
      </x:c>
      <x:c r="I24" s="155" t="str">
        <x:v>异常时</x:v>
      </x:c>
      <x:c r="J24" s="207" t="str">
        <x:v>管理分析</x:v>
      </x:c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 ht="28" customHeight="1">
      <x:c r="A25" s="154" t="str">
        <x:v>事项风控</x:v>
      </x:c>
      <x:c r="B25" s="155" t="str">
        <x:v>风险等级</x:v>
      </x:c>
      <x:c r="C25" s="155" t="str">
        <x:v>是</x:v>
      </x:c>
      <x:c r="D25" s="155" t="str">
        <x:v>红/黄/蓝</x:v>
      </x:c>
      <x:c r="E25" s="155" t="str">
        <x:v>红：重大且紧急；黄：可能影响目标；蓝：常规重点跟进</x:v>
      </x:c>
      <x:c r="F25" s="155" t="str">
        <x:v>红</x:v>
      </x:c>
      <x:c r="G25" s="155" t="str">
        <x:v>人工判断</x:v>
      </x:c>
      <x:c r="H25" s="155" t="str">
        <x:v>总经办/负责人</x:v>
      </x:c>
      <x:c r="I25" s="155" t="str">
        <x:v>每日</x:v>
      </x:c>
      <x:c r="J25" s="207" t="str">
        <x:v>风险排序</x:v>
      </x:c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 ht="28" customHeight="1">
      <x:c r="A26" s="154" t="str">
        <x:v>事项风控</x:v>
      </x:c>
      <x:c r="B26" s="155" t="str">
        <x:v>进度</x:v>
      </x:c>
      <x:c r="C26" s="155" t="str">
        <x:v>是</x:v>
      </x:c>
      <x:c r="D26" s="155" t="str">
        <x:v>%</x:v>
      </x:c>
      <x:c r="E26" s="155" t="str">
        <x:v>按可验收节点估算，不按主观感受填写</x:v>
      </x:c>
      <x:c r="F26" s="155" t="str">
        <x:v>65%</x:v>
      </x:c>
      <x:c r="G26" s="155" t="str">
        <x:v>项目台账</x:v>
      </x:c>
      <x:c r="H26" s="155" t="str">
        <x:v>事项负责人</x:v>
      </x:c>
      <x:c r="I26" s="155" t="str">
        <x:v>每日</x:v>
      </x:c>
      <x:c r="J26" s="207" t="str">
        <x:v>进度跟踪</x:v>
      </x:c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 ht="28" customHeight="1">
      <x:c r="A27" s="154" t="str">
        <x:v>事项风控</x:v>
      </x:c>
      <x:c r="B27" s="155" t="str">
        <x:v>下一步动作</x:v>
      </x:c>
      <x:c r="C27" s="155" t="str">
        <x:v>是</x:v>
      </x:c>
      <x:c r="D27" s="155" t="str">
        <x:v>文本</x:v>
      </x:c>
      <x:c r="E27" s="155" t="str">
        <x:v>用动词开头，写清动作和产出物</x:v>
      </x:c>
      <x:c r="F27" s="155" t="str">
        <x:v>形成清单并提交举证</x:v>
      </x:c>
      <x:c r="G27" s="155" t="str">
        <x:v>责任人</x:v>
      </x:c>
      <x:c r="H27" s="155" t="str">
        <x:v>事项负责人</x:v>
      </x:c>
      <x:c r="I27" s="155" t="str">
        <x:v>每日</x:v>
      </x:c>
      <x:c r="J27" s="207" t="str">
        <x:v>执行跟踪</x:v>
      </x:c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 ht="28" customHeight="1">
      <x:c r="A28" s="154" t="str">
        <x:v>事项风控</x:v>
      </x:c>
      <x:c r="B28" s="155" t="str">
        <x:v>老板介入</x:v>
      </x:c>
      <x:c r="C28" s="155" t="str">
        <x:v>是</x:v>
      </x:c>
      <x:c r="D28" s="155" t="str">
        <x:v>是/否</x:v>
      </x:c>
      <x:c r="E28" s="155" t="str">
        <x:v>只有确需老板拍板或跨部门协调时选择是</x:v>
      </x:c>
      <x:c r="F28" s="155" t="str">
        <x:v>是</x:v>
      </x:c>
      <x:c r="G28" s="155" t="str">
        <x:v>事项判断</x:v>
      </x:c>
      <x:c r="H28" s="155" t="str">
        <x:v>总经办</x:v>
      </x:c>
      <x:c r="I28" s="155" t="str">
        <x:v>按需</x:v>
      </x:c>
      <x:c r="J28" s="207" t="str">
        <x:v>决策提醒</x:v>
      </x:c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 ht="28" customHeight="1">
      <x:c r="A29" s="154" t="str">
        <x:v>事项风控</x:v>
      </x:c>
      <x:c r="B29" s="155" t="str">
        <x:v>闭环标准</x:v>
      </x:c>
      <x:c r="C29" s="155" t="str">
        <x:v>是</x:v>
      </x:c>
      <x:c r="D29" s="155" t="str">
        <x:v>文本</x:v>
      </x:c>
      <x:c r="E29" s="155" t="str">
        <x:v>写明什么结果出现后事项才可关闭</x:v>
      </x:c>
      <x:c r="F29" s="155" t="str">
        <x:v>取得平台回执</x:v>
      </x:c>
      <x:c r="G29" s="155" t="str">
        <x:v>责任人</x:v>
      </x:c>
      <x:c r="H29" s="155" t="str">
        <x:v>事项负责人</x:v>
      </x:c>
      <x:c r="I29" s="155" t="str">
        <x:v>建立时</x:v>
      </x:c>
      <x:c r="J29" s="207" t="str">
        <x:v>闭环验收</x:v>
      </x:c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 ht="28" customHeight="1">
      <x:c r="A30" s="154" t="str">
        <x:v>内容传播</x:v>
      </x:c>
      <x:c r="B30" s="155" t="str">
        <x:v>内容链接</x:v>
      </x:c>
      <x:c r="C30" s="155" t="str">
        <x:v>有发布必填</x:v>
      </x:c>
      <x:c r="D30" s="155" t="str">
        <x:v>URL</x:v>
      </x:c>
      <x:c r="E30" s="155" t="str">
        <x:v>填写可直接打开的完整链接</x:v>
      </x:c>
      <x:c r="F30" s="155" t="str">
        <x:v>https://...</x:v>
      </x:c>
      <x:c r="G30" s="155" t="str">
        <x:v>平台后台</x:v>
      </x:c>
      <x:c r="H30" s="155" t="str">
        <x:v>内容负责人</x:v>
      </x:c>
      <x:c r="I30" s="155" t="str">
        <x:v>每日</x:v>
      </x:c>
      <x:c r="J30" s="207" t="str">
        <x:v>传播下钻</x:v>
      </x:c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 ht="28" customHeight="1">
      <x:c r="A31" s="157" t="str">
        <x:v>内容传播</x:v>
      </x:c>
      <x:c r="B31" s="158" t="str">
        <x:v>互动率</x:v>
      </x:c>
      <x:c r="C31" s="158" t="str">
        <x:v>公式</x:v>
      </x:c>
      <x:c r="D31" s="158" t="str">
        <x:v>%</x:v>
      </x:c>
      <x:c r="E31" s="158" t="str">
        <x:v>点赞、收藏、评论、分享之和/浏览播放量</x:v>
      </x:c>
      <x:c r="F31" s="158" t="str">
        <x:v>5.5%</x:v>
      </x:c>
      <x:c r="G31" s="158" t="str">
        <x:v>公式</x:v>
      </x:c>
      <x:c r="H31" s="158" t="str">
        <x:v>系统</x:v>
      </x:c>
      <x:c r="I31" s="158" t="str">
        <x:v>自动</x:v>
      </x:c>
      <x:c r="J31" s="208" t="str">
        <x:v>传播效率</x:v>
      </x:c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J2"/>
    <x:mergeCell ref="A3:J3"/>
  </x:mergeCells>
  <x:conditionalFormatting sqref="C6:C31">
    <x:cfRule type="containsText" dxfId="52" priority="1" operator="containsText" text="是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26" hidden="0" customWidth="1"/>
  </x:cols>
  <x:sheetData>
    <x:row r="1" ht="34" customHeight="1">
      <x:c r="A1" s="16" t="str">
        <x:v>名单与口径配置
用于统一枚举、责任角色和数据来源名称</x:v>
      </x:c>
      <x:c r="B1" s="17" t="str">
        <x:v>名单与口径配置
用于统一枚举、责任角色和数据来源名称</x:v>
      </x:c>
      <x:c r="C1" s="17" t="str">
        <x:v>名单与口径配置
用于统一枚举、责任角色和数据来源名称</x:v>
      </x:c>
      <x:c r="D1" s="17" t="str">
        <x:v>名单与口径配置
用于统一枚举、责任角色和数据来源名称</x:v>
      </x:c>
      <x:c r="E1" s="17" t="str">
        <x:v>名单与口径配置
用于统一枚举、责任角色和数据来源名称</x:v>
      </x:c>
      <x:c r="F1" s="17" t="str">
        <x:v>名单与口径配置
用于统一枚举、责任角色和数据来源名称</x:v>
      </x:c>
      <x:c r="G1" s="17" t="str">
        <x:v>名单与口径配置
用于统一枚举、责任角色和数据来源名称</x:v>
      </x:c>
      <x:c r="H1" s="18" t="str">
        <x:v>名单与口径配置
用于统一枚举、责任角色和数据来源名称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 ht="34" customHeight="1">
      <x:c r="A2" s="19" t="str">
        <x:v>名单与口径配置
用于统一枚举、责任角色和数据来源名称</x:v>
      </x:c>
      <x:c r="B2" s="20" t="str">
        <x:v>名单与口径配置
用于统一枚举、责任角色和数据来源名称</x:v>
      </x:c>
      <x:c r="C2" s="20" t="str">
        <x:v>名单与口径配置
用于统一枚举、责任角色和数据来源名称</x:v>
      </x:c>
      <x:c r="D2" s="20" t="str">
        <x:v>名单与口径配置
用于统一枚举、责任角色和数据来源名称</x:v>
      </x:c>
      <x:c r="E2" s="20" t="str">
        <x:v>名单与口径配置
用于统一枚举、责任角色和数据来源名称</x:v>
      </x:c>
      <x:c r="F2" s="20" t="str">
        <x:v>名单与口径配置
用于统一枚举、责任角色和数据来源名称</x:v>
      </x:c>
      <x:c r="G2" s="20" t="str">
        <x:v>名单与口径配置
用于统一枚举、责任角色和数据来源名称</x:v>
      </x:c>
      <x:c r="H2" s="21" t="str">
        <x:v>名单与口径配置
用于统一枚举、责任角色和数据来源名称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</x:row>
    <x:row r="3">
      <x:c r="A3" s="30" t="str">
        <x:v>当前版本的网站按固定表头解析；新增枚举值可先在本页登记，但涉及业务板块名称时需同步网站映射。</x:v>
      </x:c>
      <x:c r="B3" s="31" t="str">
        <x:v>当前版本的网站按固定表头解析；新增枚举值可先在本页登记，但涉及业务板块名称时需同步网站映射。</x:v>
      </x:c>
      <x:c r="C3" s="31" t="str">
        <x:v>当前版本的网站按固定表头解析；新增枚举值可先在本页登记，但涉及业务板块名称时需同步网站映射。</x:v>
      </x:c>
      <x:c r="D3" s="31" t="str">
        <x:v>当前版本的网站按固定表头解析；新增枚举值可先在本页登记，但涉及业务板块名称时需同步网站映射。</x:v>
      </x:c>
      <x:c r="E3" s="31" t="str">
        <x:v>当前版本的网站按固定表头解析；新增枚举值可先在本页登记，但涉及业务板块名称时需同步网站映射。</x:v>
      </x:c>
      <x:c r="F3" s="31" t="str">
        <x:v>当前版本的网站按固定表头解析；新增枚举值可先在本页登记，但涉及业务板块名称时需同步网站映射。</x:v>
      </x:c>
      <x:c r="G3" s="31" t="str">
        <x:v>当前版本的网站按固定表头解析；新增枚举值可先在本页登记，但涉及业务板块名称时需同步网站映射。</x:v>
      </x:c>
      <x:c r="H3" s="32" t="str">
        <x:v>当前版本的网站按固定表头解析；新增枚举值可先在本页登记，但涉及业务板块名称时需同步网站映射。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</x:row>
    <x:row r="5" ht="34" customHeight="1">
      <x:c r="A5" s="129" t="str">
        <x:v>业务板块</x:v>
      </x:c>
      <x:c r="B5" s="130" t="str">
        <x:v>经营状态</x:v>
      </x:c>
      <x:c r="C5" s="130" t="str">
        <x:v>事项类型</x:v>
      </x:c>
      <x:c r="D5" s="130" t="str">
        <x:v>风险等级</x:v>
      </x:c>
      <x:c r="E5" s="130" t="str">
        <x:v>事项状态</x:v>
      </x:c>
      <x:c r="F5" s="130" t="str">
        <x:v>控制方向</x:v>
      </x:c>
      <x:c r="G5" s="130" t="str">
        <x:v>常用单位</x:v>
      </x:c>
      <x:c r="H5" s="131" t="str">
        <x:v>常用数据来源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</x:row>
    <x:row r="6" ht="28" customHeight="1">
      <x:c r="A6" s="204" t="str">
        <x:v>APR门店</x:v>
      </x:c>
      <x:c r="B6" s="205" t="str">
        <x:v>正常</x:v>
      </x:c>
      <x:c r="C6" s="205" t="str">
        <x:v>重点事项</x:v>
      </x:c>
      <x:c r="D6" s="205" t="str">
        <x:v>红</x:v>
      </x:c>
      <x:c r="E6" s="205" t="str">
        <x:v>待处理</x:v>
      </x:c>
      <x:c r="F6" s="205" t="str">
        <x:v>&gt;=</x:v>
      </x:c>
      <x:c r="G6" s="205" t="str">
        <x:v>元</x:v>
      </x:c>
      <x:c r="H6" s="206" t="str">
        <x:v>ERP/门店日报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</x:row>
    <x:row r="7" ht="28" customHeight="1">
      <x:c r="A7" s="154" t="str">
        <x:v>Apple电商</x:v>
      </x:c>
      <x:c r="B7" s="155" t="str">
        <x:v>关注</x:v>
      </x:c>
      <x:c r="C7" s="155" t="str">
        <x:v>风险预警</x:v>
      </x:c>
      <x:c r="D7" s="155" t="str">
        <x:v>黄</x:v>
      </x:c>
      <x:c r="E7" s="155" t="str">
        <x:v>进行中</x:v>
      </x:c>
      <x:c r="F7" s="155" t="str">
        <x:v>&lt;=</x:v>
      </x:c>
      <x:c r="G7" s="155" t="str">
        <x:v>%</x:v>
      </x:c>
      <x:c r="H7" s="207" t="str">
        <x:v>京麦/苏宁后台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</x:row>
    <x:row r="8" ht="28" customHeight="1">
      <x:c r="A8" s="154" t="str">
        <x:v>舒尔电商</x:v>
      </x:c>
      <x:c r="B8" s="155" t="str">
        <x:v>预警</x:v>
      </x:c>
      <x:c r="C8" s="155" t="str">
        <x:v>协调事项</x:v>
      </x:c>
      <x:c r="D8" s="155" t="str">
        <x:v>蓝</x:v>
      </x:c>
      <x:c r="E8" s="155" t="str">
        <x:v>有风险</x:v>
      </x:c>
      <x:c r="F8" s="155" t="str">
        <x:v>人工判断</x:v>
      </x:c>
      <x:c r="G8" s="155" t="str">
        <x:v>项</x:v>
      </x:c>
      <x:c r="H8" s="207" t="str">
        <x:v>京麦/千牛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</x:row>
    <x:row r="9" ht="28" customHeight="1">
      <x:c r="A9" s="154" t="str">
        <x:v>3PP/渠道分销</x:v>
      </x:c>
      <x:c r="B9" s="155"/>
      <x:c r="C9" s="155" t="str">
        <x:v>老板决策</x:v>
      </x:c>
      <x:c r="D9" s="155"/>
      <x:c r="E9" s="155" t="str">
        <x:v>预警</x:v>
      </x:c>
      <x:c r="F9" s="155"/>
      <x:c r="G9" s="155" t="str">
        <x:v>人</x:v>
      </x:c>
      <x:c r="H9" s="207" t="str">
        <x:v>吉客云/库存表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</x:row>
    <x:row r="10" ht="28" customHeight="1">
      <x:c r="A10" s="154"/>
      <x:c r="B10" s="155"/>
      <x:c r="C10" s="155"/>
      <x:c r="D10" s="155"/>
      <x:c r="E10" s="155" t="str">
        <x:v>已完成</x:v>
      </x:c>
      <x:c r="F10" s="155"/>
      <x:c r="G10" s="155" t="str">
        <x:v>个</x:v>
      </x:c>
      <x:c r="H10" s="207" t="str">
        <x:v>财务台账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</x:row>
    <x:row r="11" ht="28" customHeight="1">
      <x:c r="A11" s="154"/>
      <x:c r="B11" s="155"/>
      <x:c r="C11" s="155"/>
      <x:c r="D11" s="155"/>
      <x:c r="E11" s="155" t="str">
        <x:v>已关闭</x:v>
      </x:c>
      <x:c r="F11" s="155"/>
      <x:c r="G11" s="155" t="str">
        <x:v>单</x:v>
      </x:c>
      <x:c r="H11" s="207" t="str">
        <x:v>人事台账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</x:row>
    <x:row r="12" ht="28" customHeight="1">
      <x:c r="A12" s="154"/>
      <x:c r="B12" s="155"/>
      <x:c r="C12" s="155"/>
      <x:c r="D12" s="155"/>
      <x:c r="E12" s="155"/>
      <x:c r="F12" s="155"/>
      <x:c r="G12" s="155" t="str">
        <x:v>天</x:v>
      </x:c>
      <x:c r="H12" s="207" t="str">
        <x:v>重点事项台账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</x:row>
    <x:row r="13" ht="28" customHeight="1">
      <x:c r="A13" s="154"/>
      <x:c r="B13" s="155"/>
      <x:c r="C13" s="155"/>
      <x:c r="D13" s="155"/>
      <x:c r="E13" s="155"/>
      <x:c r="F13" s="155"/>
      <x:c r="G13" s="155" t="str">
        <x:v>次</x:v>
      </x:c>
      <x:c r="H13" s="207" t="str">
        <x:v>内容平台后台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</x:row>
    <x:row r="14" ht="28" customHeight="1">
      <x:c r="A14" s="154"/>
      <x:c r="B14" s="155"/>
      <x:c r="C14" s="155"/>
      <x:c r="D14" s="155"/>
      <x:c r="E14" s="155"/>
      <x:c r="F14" s="155"/>
      <x:c r="G14" s="155"/>
      <x:c r="H14" s="207" t="str">
        <x:v>人工确认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</x:row>
    <x:row r="15" ht="28" customHeight="1">
      <x:c r="A15" s="157"/>
      <x:c r="B15" s="158"/>
      <x:c r="C15" s="158"/>
      <x:c r="D15" s="158"/>
      <x:c r="E15" s="158"/>
      <x:c r="F15" s="158"/>
      <x:c r="G15" s="158"/>
      <x:c r="H15" s="208" t="str">
        <x:v>其他台账（需注明）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</x:row>
  </x:sheetData>
  <x:mergeCells>
    <x:mergeCell ref="A1:H2"/>
    <x:mergeCell ref="A3:H3"/>
  </x:mergeCells>
  <x:pageMargins left="0.7" right="0.7" top="0.75" bottom="0.75" header="0.3" footer="0.3"/>
</x:worksheet>
</file>